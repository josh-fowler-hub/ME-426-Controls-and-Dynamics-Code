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conda3\My_Scripts\Controls_Lab\"/>
    </mc:Choice>
  </mc:AlternateContent>
  <xr:revisionPtr revIDLastSave="0" documentId="13_ncr:1_{5A12F4BB-C97C-4266-B75C-9A7DAFAFA612}" xr6:coauthVersionLast="36" xr6:coauthVersionMax="36" xr10:uidLastSave="{00000000-0000-0000-0000-000000000000}"/>
  <bookViews>
    <workbookView xWindow="0" yWindow="0" windowWidth="23040" windowHeight="8532" xr2:uid="{4443AE01-305F-4373-A36D-51E0FCD96B2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20" i="1" l="1"/>
  <c r="N20" i="1" s="1"/>
  <c r="J19" i="1"/>
  <c r="N19" i="1" s="1"/>
  <c r="J18" i="1"/>
  <c r="N18" i="1" s="1"/>
  <c r="J17" i="1"/>
  <c r="N17" i="1" s="1"/>
  <c r="J16" i="1"/>
  <c r="N16" i="1" s="1"/>
  <c r="J15" i="1"/>
  <c r="N15" i="1" s="1"/>
  <c r="J14" i="1"/>
  <c r="N14" i="1" s="1"/>
  <c r="J13" i="1"/>
  <c r="N13" i="1" s="1"/>
  <c r="J12" i="1"/>
  <c r="N12" i="1" s="1"/>
  <c r="J11" i="1"/>
  <c r="N11" i="1" s="1"/>
  <c r="J10" i="1"/>
  <c r="N10" i="1" s="1"/>
  <c r="J9" i="1"/>
  <c r="N9" i="1" s="1"/>
  <c r="J8" i="1"/>
  <c r="N8" i="1" s="1"/>
  <c r="J7" i="1"/>
  <c r="N7" i="1" s="1"/>
  <c r="J6" i="1"/>
  <c r="N6" i="1" s="1"/>
  <c r="J5" i="1"/>
  <c r="N5" i="1" s="1"/>
  <c r="J4" i="1"/>
  <c r="N4" i="1" s="1"/>
  <c r="J3" i="1"/>
  <c r="N3" i="1" s="1"/>
  <c r="J2" i="1"/>
  <c r="N2" i="1" s="1"/>
  <c r="K24" i="1"/>
  <c r="K23" i="1"/>
  <c r="K22" i="1"/>
  <c r="O22" i="1" s="1"/>
  <c r="K21" i="1"/>
  <c r="O21" i="1" s="1"/>
  <c r="K20" i="1"/>
  <c r="O20" i="1" s="1"/>
  <c r="K19" i="1"/>
  <c r="O19" i="1" s="1"/>
  <c r="K18" i="1"/>
  <c r="O18" i="1" s="1"/>
  <c r="K17" i="1"/>
  <c r="O17" i="1" s="1"/>
  <c r="K16" i="1"/>
  <c r="O16" i="1" s="1"/>
  <c r="K15" i="1"/>
  <c r="O15" i="1" s="1"/>
  <c r="K14" i="1"/>
  <c r="O14" i="1" s="1"/>
  <c r="K13" i="1"/>
  <c r="O13" i="1" s="1"/>
  <c r="K12" i="1"/>
  <c r="O12" i="1" s="1"/>
  <c r="K11" i="1"/>
  <c r="O11" i="1" s="1"/>
  <c r="K10" i="1"/>
  <c r="O10" i="1" s="1"/>
  <c r="K9" i="1"/>
  <c r="O9" i="1" s="1"/>
  <c r="K8" i="1"/>
  <c r="O8" i="1" s="1"/>
  <c r="K7" i="1"/>
  <c r="O7" i="1" s="1"/>
  <c r="K6" i="1"/>
  <c r="O6" i="1" s="1"/>
  <c r="K5" i="1"/>
  <c r="O5" i="1" s="1"/>
  <c r="K4" i="1"/>
  <c r="O4" i="1" s="1"/>
  <c r="K3" i="1"/>
  <c r="O3" i="1" s="1"/>
  <c r="K2" i="1"/>
  <c r="O2" i="1" s="1"/>
  <c r="L2" i="1"/>
  <c r="P2" i="1" s="1"/>
  <c r="L14" i="1"/>
  <c r="P14" i="1" s="1"/>
  <c r="L13" i="1"/>
  <c r="P13" i="1" s="1"/>
  <c r="L12" i="1"/>
  <c r="P12" i="1" s="1"/>
  <c r="L11" i="1"/>
  <c r="P11" i="1" s="1"/>
  <c r="L10" i="1"/>
  <c r="P10" i="1" s="1"/>
  <c r="L9" i="1"/>
  <c r="P9" i="1" s="1"/>
  <c r="L8" i="1"/>
  <c r="P8" i="1" s="1"/>
  <c r="L7" i="1"/>
  <c r="P7" i="1" s="1"/>
  <c r="L6" i="1"/>
  <c r="P6" i="1" s="1"/>
  <c r="L5" i="1"/>
  <c r="P5" i="1" s="1"/>
  <c r="L4" i="1"/>
  <c r="P4" i="1" s="1"/>
  <c r="L3" i="1"/>
  <c r="P3" i="1" s="1"/>
  <c r="N27" i="1" l="1"/>
  <c r="O27" i="1"/>
  <c r="P27" i="1"/>
</calcChain>
</file>

<file path=xl/sharedStrings.xml><?xml version="1.0" encoding="utf-8"?>
<sst xmlns="http://schemas.openxmlformats.org/spreadsheetml/2006/main" count="26" uniqueCount="24">
  <si>
    <t>RC1 Time</t>
  </si>
  <si>
    <t>RC1 V</t>
  </si>
  <si>
    <t>RC2 T</t>
  </si>
  <si>
    <t>RC2 V</t>
  </si>
  <si>
    <t>RC3 T</t>
  </si>
  <si>
    <t>RC3 V</t>
  </si>
  <si>
    <t>OA1 T</t>
  </si>
  <si>
    <t>OA1 V</t>
  </si>
  <si>
    <t>TC1</t>
  </si>
  <si>
    <t>TC2</t>
  </si>
  <si>
    <t>TC3</t>
  </si>
  <si>
    <t>SSERC1</t>
  </si>
  <si>
    <t>SSERC2</t>
  </si>
  <si>
    <t>SSERC3</t>
  </si>
  <si>
    <t>SSEOAC1</t>
  </si>
  <si>
    <t>TRC1V</t>
  </si>
  <si>
    <t>TOA1V</t>
  </si>
  <si>
    <t>TRC2V</t>
  </si>
  <si>
    <t>TRC3V</t>
  </si>
  <si>
    <t>TCOA1</t>
  </si>
  <si>
    <t>V01</t>
  </si>
  <si>
    <t>V02</t>
  </si>
  <si>
    <t>V03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</si>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</sst>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4.000000000000001E-5</c:v>
                </c:pt>
                <c:pt idx="2">
                  <c:v>6.0000000000000002E-5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1.3000000000000002E-4</c:v>
                </c:pt>
                <c:pt idx="6">
                  <c:v>1.6000000000000001E-4</c:v>
                </c:pt>
                <c:pt idx="7">
                  <c:v>1.9000000000000001E-4</c:v>
                </c:pt>
                <c:pt idx="8">
                  <c:v>2.3999999999999998E-4</c:v>
                </c:pt>
                <c:pt idx="9">
                  <c:v>2.9E-4</c:v>
                </c:pt>
                <c:pt idx="10">
                  <c:v>3.1E-4</c:v>
                </c:pt>
                <c:pt idx="11">
                  <c:v>3.4000000000000002E-4</c:v>
                </c:pt>
                <c:pt idx="12">
                  <c:v>4.0000000000000002E-4</c:v>
                </c:pt>
                <c:pt idx="13">
                  <c:v>4.8000000000000001E-4</c:v>
                </c:pt>
                <c:pt idx="14">
                  <c:v>5.5999999999999995E-4</c:v>
                </c:pt>
                <c:pt idx="15">
                  <c:v>6.0999999999999997E-4</c:v>
                </c:pt>
                <c:pt idx="16">
                  <c:v>6.7999999999999994E-4</c:v>
                </c:pt>
                <c:pt idx="17">
                  <c:v>9.5E-4</c:v>
                </c:pt>
                <c:pt idx="18">
                  <c:v>1.07E-3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0</c:v>
                </c:pt>
                <c:pt idx="1">
                  <c:v>0.38</c:v>
                </c:pt>
                <c:pt idx="2">
                  <c:v>0.66</c:v>
                </c:pt>
                <c:pt idx="3">
                  <c:v>0.88</c:v>
                </c:pt>
                <c:pt idx="4">
                  <c:v>1.08</c:v>
                </c:pt>
                <c:pt idx="5">
                  <c:v>1.3</c:v>
                </c:pt>
                <c:pt idx="6">
                  <c:v>1.48</c:v>
                </c:pt>
                <c:pt idx="7">
                  <c:v>1.6</c:v>
                </c:pt>
                <c:pt idx="8">
                  <c:v>1.76</c:v>
                </c:pt>
                <c:pt idx="9">
                  <c:v>1.88</c:v>
                </c:pt>
                <c:pt idx="10">
                  <c:v>1.9</c:v>
                </c:pt>
                <c:pt idx="11">
                  <c:v>1.94</c:v>
                </c:pt>
                <c:pt idx="12">
                  <c:v>1.98</c:v>
                </c:pt>
                <c:pt idx="13">
                  <c:v>2.02</c:v>
                </c:pt>
                <c:pt idx="14">
                  <c:v>2.04</c:v>
                </c:pt>
                <c:pt idx="15">
                  <c:v>2.04</c:v>
                </c:pt>
                <c:pt idx="16">
                  <c:v>2.06</c:v>
                </c:pt>
                <c:pt idx="17">
                  <c:v>2.06</c:v>
                </c:pt>
                <c:pt idx="18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3-49B9-B14A-36C9BB8DD067}"/>
            </c:ext>
          </c:extLst>
        </c:ser>
        <c:ser>
          <c:idx val="1"/>
          <c:order val="1"/>
          <c:tx>
            <c:v>Fitted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4.000000000000001E-5</c:v>
                </c:pt>
                <c:pt idx="2">
                  <c:v>6.0000000000000002E-5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1.3000000000000002E-4</c:v>
                </c:pt>
                <c:pt idx="6">
                  <c:v>1.6000000000000001E-4</c:v>
                </c:pt>
                <c:pt idx="7">
                  <c:v>1.9000000000000001E-4</c:v>
                </c:pt>
                <c:pt idx="8">
                  <c:v>2.3999999999999998E-4</c:v>
                </c:pt>
                <c:pt idx="9">
                  <c:v>2.9E-4</c:v>
                </c:pt>
                <c:pt idx="10">
                  <c:v>3.1E-4</c:v>
                </c:pt>
                <c:pt idx="11">
                  <c:v>3.4000000000000002E-4</c:v>
                </c:pt>
                <c:pt idx="12">
                  <c:v>4.0000000000000002E-4</c:v>
                </c:pt>
                <c:pt idx="13">
                  <c:v>4.8000000000000001E-4</c:v>
                </c:pt>
                <c:pt idx="14">
                  <c:v>5.5999999999999995E-4</c:v>
                </c:pt>
                <c:pt idx="15">
                  <c:v>6.0999999999999997E-4</c:v>
                </c:pt>
                <c:pt idx="16">
                  <c:v>6.7999999999999994E-4</c:v>
                </c:pt>
                <c:pt idx="17">
                  <c:v>9.5E-4</c:v>
                </c:pt>
                <c:pt idx="18">
                  <c:v>1.07E-3</c:v>
                </c:pt>
              </c:numCache>
            </c:numRef>
          </c:xVal>
          <c:yVal>
            <c:numRef>
              <c:f>Sheet1!$J$2:$J$20</c:f>
              <c:numCache>
                <c:formatCode>0.00E+00</c:formatCode>
                <c:ptCount val="19"/>
                <c:pt idx="0">
                  <c:v>0</c:v>
                </c:pt>
                <c:pt idx="1">
                  <c:v>1.8548895438271942</c:v>
                </c:pt>
                <c:pt idx="2">
                  <c:v>1.9952785720471689</c:v>
                </c:pt>
                <c:pt idx="3">
                  <c:v>2.0395775246449435</c:v>
                </c:pt>
                <c:pt idx="4">
                  <c:v>2.0535558050429317</c:v>
                </c:pt>
                <c:pt idx="5">
                  <c:v>2.0588577554204468</c:v>
                </c:pt>
                <c:pt idx="6">
                  <c:v>2.0597975351943556</c:v>
                </c:pt>
                <c:pt idx="7">
                  <c:v>2.0599641127668642</c:v>
                </c:pt>
                <c:pt idx="8">
                  <c:v>2.0599979927997558</c:v>
                </c:pt>
                <c:pt idx="9">
                  <c:v>2.0599998877357639</c:v>
                </c:pt>
                <c:pt idx="10">
                  <c:v>2.0599999645756641</c:v>
                </c:pt>
                <c:pt idx="11">
                  <c:v>2.0599999937209761</c:v>
                </c:pt>
                <c:pt idx="12">
                  <c:v>2.0599999998027245</c:v>
                </c:pt>
                <c:pt idx="13">
                  <c:v>2.0599999999980443</c:v>
                </c:pt>
                <c:pt idx="14">
                  <c:v>2.0599999999999805</c:v>
                </c:pt>
                <c:pt idx="15">
                  <c:v>2.0599999999999987</c:v>
                </c:pt>
                <c:pt idx="16">
                  <c:v>2.06</c:v>
                </c:pt>
                <c:pt idx="17">
                  <c:v>2.06</c:v>
                </c:pt>
                <c:pt idx="18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B3-49B9-B14A-36C9BB8DD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682696"/>
        <c:axId val="438675480"/>
      </c:scatterChart>
      <c:valAx>
        <c:axId val="43868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75480"/>
        <c:crosses val="autoZero"/>
        <c:crossBetween val="midCat"/>
      </c:valAx>
      <c:valAx>
        <c:axId val="43867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8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Sheet1!$C$2:$C$24</c:f>
              <c:numCache>
                <c:formatCode>General</c:formatCode>
                <c:ptCount val="23"/>
                <c:pt idx="0">
                  <c:v>0</c:v>
                </c:pt>
                <c:pt idx="1">
                  <c:v>1.2E-5</c:v>
                </c:pt>
                <c:pt idx="2">
                  <c:v>2.8E-5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7.6000000000000004E-5</c:v>
                </c:pt>
                <c:pt idx="6">
                  <c:v>9.2E-5</c:v>
                </c:pt>
                <c:pt idx="7">
                  <c:v>1.12E-4</c:v>
                </c:pt>
                <c:pt idx="8">
                  <c:v>1.36E-4</c:v>
                </c:pt>
                <c:pt idx="9">
                  <c:v>1.6799999999999999E-4</c:v>
                </c:pt>
                <c:pt idx="10">
                  <c:v>1.92E-4</c:v>
                </c:pt>
                <c:pt idx="11">
                  <c:v>2.1599999999999999E-4</c:v>
                </c:pt>
                <c:pt idx="12">
                  <c:v>2.3599999999999999E-4</c:v>
                </c:pt>
                <c:pt idx="13">
                  <c:v>2.6800000000000001E-4</c:v>
                </c:pt>
                <c:pt idx="14">
                  <c:v>3.1199999999999999E-4</c:v>
                </c:pt>
                <c:pt idx="15">
                  <c:v>3.5199999999999999E-4</c:v>
                </c:pt>
                <c:pt idx="16">
                  <c:v>3.88E-4</c:v>
                </c:pt>
                <c:pt idx="17">
                  <c:v>4.2400000000000001E-4</c:v>
                </c:pt>
                <c:pt idx="18">
                  <c:v>4.6799999999999999E-4</c:v>
                </c:pt>
                <c:pt idx="19">
                  <c:v>5.0799999999999999E-4</c:v>
                </c:pt>
                <c:pt idx="20">
                  <c:v>5.8399999999999999E-4</c:v>
                </c:pt>
                <c:pt idx="21">
                  <c:v>7.1599999999999995E-4</c:v>
                </c:pt>
                <c:pt idx="22">
                  <c:v>8.0800000000000002E-4</c:v>
                </c:pt>
              </c:numCache>
            </c:numRef>
          </c:xVal>
          <c:yVal>
            <c:numRef>
              <c:f>Sheet1!$D$2:$D$24</c:f>
              <c:numCache>
                <c:formatCode>General</c:formatCode>
                <c:ptCount val="23"/>
                <c:pt idx="0">
                  <c:v>1.8599999999999999</c:v>
                </c:pt>
                <c:pt idx="1">
                  <c:v>1.68</c:v>
                </c:pt>
                <c:pt idx="2">
                  <c:v>1.46</c:v>
                </c:pt>
                <c:pt idx="3">
                  <c:v>1.32</c:v>
                </c:pt>
                <c:pt idx="4">
                  <c:v>1.1000000000000001</c:v>
                </c:pt>
                <c:pt idx="5">
                  <c:v>0.96</c:v>
                </c:pt>
                <c:pt idx="6">
                  <c:v>0.84</c:v>
                </c:pt>
                <c:pt idx="7">
                  <c:v>0.7</c:v>
                </c:pt>
                <c:pt idx="8">
                  <c:v>0.55999999999999994</c:v>
                </c:pt>
                <c:pt idx="9">
                  <c:v>0.42</c:v>
                </c:pt>
                <c:pt idx="10">
                  <c:v>0.33999999999999997</c:v>
                </c:pt>
                <c:pt idx="11">
                  <c:v>0.27999999999999997</c:v>
                </c:pt>
                <c:pt idx="12">
                  <c:v>0.24000000000000002</c:v>
                </c:pt>
                <c:pt idx="13">
                  <c:v>0.18000000000000002</c:v>
                </c:pt>
                <c:pt idx="14">
                  <c:v>0.12000000000000001</c:v>
                </c:pt>
                <c:pt idx="15">
                  <c:v>0.08</c:v>
                </c:pt>
                <c:pt idx="16">
                  <c:v>0.06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E5-4842-BFAD-C6505EBA0E28}"/>
            </c:ext>
          </c:extLst>
        </c:ser>
        <c:ser>
          <c:idx val="1"/>
          <c:order val="1"/>
          <c:tx>
            <c:v>Fitted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4.000000000000001E-5</c:v>
                </c:pt>
                <c:pt idx="2">
                  <c:v>6.0000000000000002E-5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1.3000000000000002E-4</c:v>
                </c:pt>
                <c:pt idx="6">
                  <c:v>1.6000000000000001E-4</c:v>
                </c:pt>
                <c:pt idx="7">
                  <c:v>1.9000000000000001E-4</c:v>
                </c:pt>
                <c:pt idx="8">
                  <c:v>2.3999999999999998E-4</c:v>
                </c:pt>
                <c:pt idx="9">
                  <c:v>2.9E-4</c:v>
                </c:pt>
                <c:pt idx="10">
                  <c:v>3.1E-4</c:v>
                </c:pt>
                <c:pt idx="11">
                  <c:v>3.4000000000000002E-4</c:v>
                </c:pt>
                <c:pt idx="12">
                  <c:v>4.0000000000000002E-4</c:v>
                </c:pt>
                <c:pt idx="13">
                  <c:v>4.8000000000000001E-4</c:v>
                </c:pt>
                <c:pt idx="14">
                  <c:v>5.5999999999999995E-4</c:v>
                </c:pt>
                <c:pt idx="15">
                  <c:v>6.0999999999999997E-4</c:v>
                </c:pt>
                <c:pt idx="16">
                  <c:v>6.7999999999999994E-4</c:v>
                </c:pt>
                <c:pt idx="17">
                  <c:v>9.5E-4</c:v>
                </c:pt>
                <c:pt idx="18">
                  <c:v>1.07E-3</c:v>
                </c:pt>
              </c:numCache>
            </c:numRef>
          </c:xVal>
          <c:yVal>
            <c:numRef>
              <c:f>Sheet1!$K$2:$K$24</c:f>
              <c:numCache>
                <c:formatCode>General</c:formatCode>
                <c:ptCount val="23"/>
                <c:pt idx="0">
                  <c:v>1.4864041588999599</c:v>
                </c:pt>
                <c:pt idx="1">
                  <c:v>1.3721130230828054</c:v>
                </c:pt>
                <c:pt idx="2">
                  <c:v>1.2332766788549174</c:v>
                </c:pt>
                <c:pt idx="3">
                  <c:v>1.1384487738338152</c:v>
                </c:pt>
                <c:pt idx="4">
                  <c:v>0.99632673608862743</c:v>
                </c:pt>
                <c:pt idx="5">
                  <c:v>0.89551407753353041</c:v>
                </c:pt>
                <c:pt idx="6">
                  <c:v>0.80490208082641823</c:v>
                </c:pt>
                <c:pt idx="7">
                  <c:v>0.70441945346395862</c:v>
                </c:pt>
                <c:pt idx="8">
                  <c:v>0.60025707856651001</c:v>
                </c:pt>
                <c:pt idx="9">
                  <c:v>0.48492944540032162</c:v>
                </c:pt>
                <c:pt idx="10">
                  <c:v>0.41322301758630825</c:v>
                </c:pt>
                <c:pt idx="11">
                  <c:v>0.35211980605173027</c:v>
                </c:pt>
                <c:pt idx="12">
                  <c:v>0.308161759351056</c:v>
                </c:pt>
                <c:pt idx="13">
                  <c:v>0.2489545169755745</c:v>
                </c:pt>
                <c:pt idx="14">
                  <c:v>0.18565824914039677</c:v>
                </c:pt>
                <c:pt idx="15">
                  <c:v>0.14219713045100751</c:v>
                </c:pt>
                <c:pt idx="16">
                  <c:v>0.11185354583405914</c:v>
                </c:pt>
                <c:pt idx="17">
                  <c:v>8.7985008389199357E-2</c:v>
                </c:pt>
                <c:pt idx="18">
                  <c:v>6.5614967772384528E-2</c:v>
                </c:pt>
                <c:pt idx="19">
                  <c:v>5.0255025968777553E-2</c:v>
                </c:pt>
                <c:pt idx="20">
                  <c:v>3.0277151037547911E-2</c:v>
                </c:pt>
                <c:pt idx="21">
                  <c:v>1.255734214738472E-2</c:v>
                </c:pt>
                <c:pt idx="22">
                  <c:v>6.799920979472655E-3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E5-4842-BFAD-C6505EBA0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73384"/>
        <c:axId val="998967808"/>
      </c:scatterChart>
      <c:valAx>
        <c:axId val="99897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67808"/>
        <c:crosses val="autoZero"/>
        <c:crossBetween val="midCat"/>
      </c:valAx>
      <c:valAx>
        <c:axId val="9989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73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Sheet1!$E$2:$E$14</c:f>
              <c:numCache>
                <c:formatCode>General</c:formatCode>
                <c:ptCount val="13"/>
                <c:pt idx="0">
                  <c:v>0</c:v>
                </c:pt>
                <c:pt idx="1">
                  <c:v>1.1999999999999999E-3</c:v>
                </c:pt>
                <c:pt idx="2">
                  <c:v>4.0996000000000001E-3</c:v>
                </c:pt>
                <c:pt idx="3">
                  <c:v>4.0997999999999998E-3</c:v>
                </c:pt>
                <c:pt idx="4">
                  <c:v>4.0999000000000001E-3</c:v>
                </c:pt>
                <c:pt idx="5">
                  <c:v>4.1000000000000003E-3</c:v>
                </c:pt>
                <c:pt idx="6">
                  <c:v>4.1001000000000006E-3</c:v>
                </c:pt>
                <c:pt idx="7">
                  <c:v>4.1002E-3</c:v>
                </c:pt>
                <c:pt idx="8">
                  <c:v>4.1006000000000003E-3</c:v>
                </c:pt>
                <c:pt idx="9">
                  <c:v>5.3E-3</c:v>
                </c:pt>
                <c:pt idx="10">
                  <c:v>6.1999999999999998E-3</c:v>
                </c:pt>
                <c:pt idx="11">
                  <c:v>7.8000000000000005E-3</c:v>
                </c:pt>
                <c:pt idx="12">
                  <c:v>9.2999999999999992E-3</c:v>
                </c:pt>
              </c:numCache>
            </c:numRef>
          </c:xVal>
          <c:yVal>
            <c:numRef>
              <c:f>Sheet1!$F$2:$F$14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0.45999999999999996</c:v>
                </c:pt>
                <c:pt idx="4">
                  <c:v>0.92</c:v>
                </c:pt>
                <c:pt idx="5">
                  <c:v>1.26</c:v>
                </c:pt>
                <c:pt idx="6">
                  <c:v>1.5</c:v>
                </c:pt>
                <c:pt idx="7">
                  <c:v>1.6800000000000002</c:v>
                </c:pt>
                <c:pt idx="8">
                  <c:v>1.96</c:v>
                </c:pt>
                <c:pt idx="9">
                  <c:v>2.04</c:v>
                </c:pt>
                <c:pt idx="10">
                  <c:v>2.06</c:v>
                </c:pt>
                <c:pt idx="11">
                  <c:v>2.06</c:v>
                </c:pt>
                <c:pt idx="12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D-44DE-86C9-39C0848AE024}"/>
            </c:ext>
          </c:extLst>
        </c:ser>
        <c:ser>
          <c:idx val="1"/>
          <c:order val="1"/>
          <c:tx>
            <c:v>Fitted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Sheet1!$E$2:$E$14</c:f>
              <c:numCache>
                <c:formatCode>General</c:formatCode>
                <c:ptCount val="13"/>
                <c:pt idx="0">
                  <c:v>0</c:v>
                </c:pt>
                <c:pt idx="1">
                  <c:v>1.1999999999999999E-3</c:v>
                </c:pt>
                <c:pt idx="2">
                  <c:v>4.0996000000000001E-3</c:v>
                </c:pt>
                <c:pt idx="3">
                  <c:v>4.0997999999999998E-3</c:v>
                </c:pt>
                <c:pt idx="4">
                  <c:v>4.0999000000000001E-3</c:v>
                </c:pt>
                <c:pt idx="5">
                  <c:v>4.1000000000000003E-3</c:v>
                </c:pt>
                <c:pt idx="6">
                  <c:v>4.1001000000000006E-3</c:v>
                </c:pt>
                <c:pt idx="7">
                  <c:v>4.1002E-3</c:v>
                </c:pt>
                <c:pt idx="8">
                  <c:v>4.1006000000000003E-3</c:v>
                </c:pt>
                <c:pt idx="9">
                  <c:v>5.3E-3</c:v>
                </c:pt>
                <c:pt idx="10">
                  <c:v>6.1999999999999998E-3</c:v>
                </c:pt>
                <c:pt idx="11">
                  <c:v>7.8000000000000005E-3</c:v>
                </c:pt>
                <c:pt idx="12">
                  <c:v>9.2999999999999992E-3</c:v>
                </c:pt>
              </c:numCache>
            </c:numRef>
          </c:xVal>
          <c:yVal>
            <c:numRef>
              <c:f>Sheet1!$L$2:$L$14</c:f>
              <c:numCache>
                <c:formatCode>General</c:formatCode>
                <c:ptCount val="13"/>
                <c:pt idx="0">
                  <c:v>0</c:v>
                </c:pt>
                <c:pt idx="1">
                  <c:v>0.45561757381788781</c:v>
                </c:pt>
                <c:pt idx="2">
                  <c:v>1.2938913401258296</c:v>
                </c:pt>
                <c:pt idx="3">
                  <c:v>1.2939367071696586</c:v>
                </c:pt>
                <c:pt idx="4">
                  <c:v>1.2939593901705073</c:v>
                </c:pt>
                <c:pt idx="5">
                  <c:v>1.2939820728239861</c:v>
                </c:pt>
                <c:pt idx="6">
                  <c:v>1.2940047551300999</c:v>
                </c:pt>
                <c:pt idx="7">
                  <c:v>1.2940274370888545</c:v>
                </c:pt>
                <c:pt idx="8">
                  <c:v>1.2941181614503832</c:v>
                </c:pt>
                <c:pt idx="9">
                  <c:v>1.5426257398480367</c:v>
                </c:pt>
                <c:pt idx="10">
                  <c:v>1.7013111874047635</c:v>
                </c:pt>
                <c:pt idx="11">
                  <c:v>1.9346681018018954</c:v>
                </c:pt>
                <c:pt idx="12">
                  <c:v>2.1071612144280274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D-44DE-86C9-39C0848AE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680728"/>
        <c:axId val="438682040"/>
      </c:scatterChart>
      <c:valAx>
        <c:axId val="43868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82040"/>
        <c:crosses val="autoZero"/>
        <c:crossBetween val="midCat"/>
      </c:valAx>
      <c:valAx>
        <c:axId val="43868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80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388620</xdr:colOff>
      <xdr:row>28</xdr:row>
      <xdr:rowOff>7620</xdr:rowOff>
    </xdr:from>
    <xdr:to>
      <xdr:col>15</xdr:col>
      <xdr:colOff>335280</xdr:colOff>
      <xdr:row>43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FB13E-79C0-493A-85DB-74176248F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27</xdr:row>
      <xdr:rowOff>175260</xdr:rowOff>
    </xdr:from>
    <xdr:to>
      <xdr:col>23</xdr:col>
      <xdr:colOff>304800</xdr:colOff>
      <xdr:row>42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9C9C8-4F51-41A2-AD41-06A07524C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15240</xdr:colOff>
      <xdr:row>27</xdr:row>
      <xdr:rowOff>144780</xdr:rowOff>
    </xdr:from>
    <xdr:to>
      <xdr:col>31</xdr:col>
      <xdr:colOff>320040</xdr:colOff>
      <xdr:row>42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8274DB-0255-4515-BE46-725EE2065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CFFF-C6D4-4154-96C6-615F037C3E29}">
  <dimension ref="A1:Y65"/>
  <sheetViews>
    <sheetView tabSelected="1" topLeftCell="L1" workbookViewId="0">
      <selection activeCell="Y29" sqref="Y29"/>
    </sheetView>
  </sheetViews>
  <sheetFormatPr defaultRowHeight="14.4" x14ac:dyDescent="0.3"/>
  <cols>
    <col min="11" max="11" width="12" bestFit="1" customWidth="1"/>
    <col min="14" max="14" width="11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15</v>
      </c>
      <c r="K1" t="s">
        <v>17</v>
      </c>
      <c r="L1" t="s">
        <v>18</v>
      </c>
      <c r="M1" t="s">
        <v>16</v>
      </c>
      <c r="N1" t="s">
        <v>11</v>
      </c>
      <c r="O1" t="s">
        <v>12</v>
      </c>
      <c r="P1" t="s">
        <v>13</v>
      </c>
      <c r="Q1" t="s">
        <v>14</v>
      </c>
      <c r="S1" t="s">
        <v>8</v>
      </c>
      <c r="T1" t="s">
        <v>9</v>
      </c>
      <c r="U1" t="s">
        <v>10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>
        <v>0</v>
      </c>
      <c r="B2">
        <v>0</v>
      </c>
      <c r="C2">
        <v>0</v>
      </c>
      <c r="D2">
        <v>1.8599999999999999</v>
      </c>
      <c r="E2">
        <v>0</v>
      </c>
      <c r="F2">
        <v>0</v>
      </c>
      <c r="G2">
        <v>0</v>
      </c>
      <c r="H2">
        <v>4.37</v>
      </c>
      <c r="J2" s="1">
        <f>W2*(1 - EXP(-A2/S2))</f>
        <v>0</v>
      </c>
      <c r="K2">
        <f>X2*(EXP(-C2/T2) )</f>
        <v>1.4864041588999599</v>
      </c>
      <c r="L2">
        <f>Y2*(1-EXP(-E2/U2))</f>
        <v>0</v>
      </c>
      <c r="N2">
        <f>(B2-J2)^2</f>
        <v>0</v>
      </c>
      <c r="O2">
        <f>(K2-D2)^2</f>
        <v>0.1395738524872463</v>
      </c>
      <c r="P2">
        <f>(F2-L2)^2</f>
        <v>0</v>
      </c>
      <c r="S2" s="1">
        <v>1.7339191654937402E-5</v>
      </c>
      <c r="T2">
        <v>1.4998503376080507E-4</v>
      </c>
      <c r="U2">
        <v>6.5298727626969038E-3</v>
      </c>
      <c r="W2">
        <v>2.06</v>
      </c>
      <c r="X2">
        <v>1.4864041588999599</v>
      </c>
      <c r="Y2">
        <v>2.7751191428835771</v>
      </c>
    </row>
    <row r="3" spans="1:25" x14ac:dyDescent="0.3">
      <c r="A3">
        <v>4.000000000000001E-5</v>
      </c>
      <c r="B3">
        <v>0.38</v>
      </c>
      <c r="C3">
        <v>1.2E-5</v>
      </c>
      <c r="D3">
        <v>1.68</v>
      </c>
      <c r="E3">
        <v>1.1999999999999999E-3</v>
      </c>
      <c r="F3">
        <v>0</v>
      </c>
      <c r="G3">
        <v>2E-3</v>
      </c>
      <c r="H3">
        <v>3.21</v>
      </c>
      <c r="J3" s="1">
        <f>W2*(1 - EXP(-A3/S2))</f>
        <v>1.8548895438271942</v>
      </c>
      <c r="K3">
        <f>X2*(EXP(-C3/T2))</f>
        <v>1.3721130230828054</v>
      </c>
      <c r="L3">
        <f>2.71405295147538*(1-EXP(-E3/U2))</f>
        <v>0.45561757381788781</v>
      </c>
      <c r="N3">
        <f t="shared" ref="N3:N20" si="0">(B3-J3)^2</f>
        <v>2.1752991664907886</v>
      </c>
      <c r="O3">
        <f t="shared" ref="O3:O22" si="1">(K3-D3)^2</f>
        <v>9.4794390555209107E-2</v>
      </c>
      <c r="P3">
        <f>(F3-L3)^2</f>
        <v>0.20758737357169846</v>
      </c>
    </row>
    <row r="4" spans="1:25" x14ac:dyDescent="0.3">
      <c r="A4">
        <v>6.0000000000000002E-5</v>
      </c>
      <c r="B4">
        <v>0.66</v>
      </c>
      <c r="C4">
        <v>2.8E-5</v>
      </c>
      <c r="D4">
        <v>1.46</v>
      </c>
      <c r="E4">
        <v>4.0996000000000001E-3</v>
      </c>
      <c r="F4">
        <v>0</v>
      </c>
      <c r="G4">
        <v>3.0000000000000001E-3</v>
      </c>
      <c r="H4">
        <v>1.1299999999999999</v>
      </c>
      <c r="J4" s="1">
        <f>W2*(1 - EXP(-A4/S2))</f>
        <v>1.9952785720471689</v>
      </c>
      <c r="K4">
        <f>X2*(EXP(-C4/T2))</f>
        <v>1.2332766788549174</v>
      </c>
      <c r="L4">
        <f>Y2*(1-EXP(-E4/U2))</f>
        <v>1.2938913401258296</v>
      </c>
      <c r="N4">
        <f t="shared" si="0"/>
        <v>1.7829688649683264</v>
      </c>
      <c r="O4">
        <f t="shared" si="1"/>
        <v>5.1403464351056229E-2</v>
      </c>
      <c r="P4">
        <f>(F4-L4)^2</f>
        <v>1.6741548000526154</v>
      </c>
    </row>
    <row r="5" spans="1:25" x14ac:dyDescent="0.3">
      <c r="A5">
        <v>8.0000000000000007E-5</v>
      </c>
      <c r="B5">
        <v>0.88</v>
      </c>
      <c r="C5">
        <v>4.0000000000000003E-5</v>
      </c>
      <c r="D5">
        <v>1.32</v>
      </c>
      <c r="E5">
        <v>4.0997999999999998E-3</v>
      </c>
      <c r="F5">
        <v>0.45999999999999996</v>
      </c>
      <c r="G5">
        <v>4.0000000000000001E-3</v>
      </c>
      <c r="H5">
        <v>1.0000000000000009E-2</v>
      </c>
      <c r="J5" s="1">
        <f>W2*(1 - EXP(-A5/S2))</f>
        <v>2.0395775246449435</v>
      </c>
      <c r="K5">
        <f>X2*(EXP(-C5/T2))</f>
        <v>1.1384487738338152</v>
      </c>
      <c r="L5">
        <f>Y2*(1-EXP(-E5/U2))</f>
        <v>1.2939367071696586</v>
      </c>
      <c r="N5">
        <f t="shared" si="0"/>
        <v>1.3446200356616946</v>
      </c>
      <c r="O5">
        <f t="shared" si="1"/>
        <v>3.2960847722445223E-2</v>
      </c>
      <c r="P5">
        <f>(F5-L5)^2</f>
        <v>0.69545043156497299</v>
      </c>
    </row>
    <row r="6" spans="1:25" x14ac:dyDescent="0.3">
      <c r="A6">
        <v>1E-4</v>
      </c>
      <c r="B6">
        <v>1.08</v>
      </c>
      <c r="C6">
        <v>6.0000000000000002E-5</v>
      </c>
      <c r="D6">
        <v>1.1000000000000001</v>
      </c>
      <c r="E6">
        <v>4.0999000000000001E-3</v>
      </c>
      <c r="F6">
        <v>0.92</v>
      </c>
      <c r="G6">
        <v>5.0000000000000001E-3</v>
      </c>
      <c r="H6">
        <v>0.61</v>
      </c>
      <c r="J6" s="1">
        <f>W2*(1 - EXP(-A6/S2))</f>
        <v>2.0535558050429317</v>
      </c>
      <c r="K6">
        <f>X2*(EXP(-C6/T2))</f>
        <v>0.99632673608862743</v>
      </c>
      <c r="L6">
        <f>Y2*(1-EXP(-E6/U2))</f>
        <v>1.2939593901705073</v>
      </c>
      <c r="N6">
        <f t="shared" si="0"/>
        <v>0.94781090553279068</v>
      </c>
      <c r="O6">
        <f t="shared" si="1"/>
        <v>1.0748145650037125E-2</v>
      </c>
      <c r="P6">
        <f>(F6-L6)^2</f>
        <v>0.13984562549669768</v>
      </c>
    </row>
    <row r="7" spans="1:25" x14ac:dyDescent="0.3">
      <c r="A7">
        <v>1.3000000000000002E-4</v>
      </c>
      <c r="B7">
        <v>1.3</v>
      </c>
      <c r="C7">
        <v>7.6000000000000004E-5</v>
      </c>
      <c r="D7">
        <v>0.96</v>
      </c>
      <c r="E7">
        <v>4.1000000000000003E-3</v>
      </c>
      <c r="F7">
        <v>1.26</v>
      </c>
      <c r="G7">
        <v>6.0000000000000001E-3</v>
      </c>
      <c r="H7">
        <v>2.0499999999999998</v>
      </c>
      <c r="J7" s="1">
        <f>W2*(1-EXP(-A7/S2))</f>
        <v>2.0588577554204468</v>
      </c>
      <c r="K7">
        <f>X2*(EXP(-C7/T2))</f>
        <v>0.89551407753353041</v>
      </c>
      <c r="L7">
        <f>Y2*(1-EXP(-E7/U2))</f>
        <v>1.2939820728239861</v>
      </c>
      <c r="N7">
        <f t="shared" si="0"/>
        <v>0.57586509296175858</v>
      </c>
      <c r="O7">
        <f t="shared" si="1"/>
        <v>4.1584341963515235E-3</v>
      </c>
      <c r="P7">
        <f>(F7-L7)^2</f>
        <v>1.1547812734146968E-3</v>
      </c>
    </row>
    <row r="8" spans="1:25" x14ac:dyDescent="0.3">
      <c r="A8">
        <v>1.6000000000000001E-4</v>
      </c>
      <c r="B8">
        <v>1.48</v>
      </c>
      <c r="C8">
        <v>9.2E-5</v>
      </c>
      <c r="D8">
        <v>0.84</v>
      </c>
      <c r="E8">
        <v>4.1001000000000006E-3</v>
      </c>
      <c r="F8">
        <v>1.5</v>
      </c>
      <c r="G8">
        <v>7.0000000000000001E-3</v>
      </c>
      <c r="H8">
        <v>3.09</v>
      </c>
      <c r="J8" s="1">
        <f>W2*(1-EXP(-A8/S2))</f>
        <v>2.0597975351943556</v>
      </c>
      <c r="K8">
        <f>X2*(EXP(-C8/T2))</f>
        <v>0.80490208082641823</v>
      </c>
      <c r="L8">
        <f>Y2*(1-EXP(-E8/U2))</f>
        <v>1.2940047551300999</v>
      </c>
      <c r="N8">
        <f t="shared" si="0"/>
        <v>0.33616518181745003</v>
      </c>
      <c r="O8">
        <f t="shared" si="1"/>
        <v>1.2318639303152766E-3</v>
      </c>
      <c r="P8">
        <f>(F8-L8)^2</f>
        <v>4.2434040909010089E-2</v>
      </c>
    </row>
    <row r="9" spans="1:25" x14ac:dyDescent="0.3">
      <c r="A9">
        <v>1.9000000000000001E-4</v>
      </c>
      <c r="B9">
        <v>1.6</v>
      </c>
      <c r="C9">
        <v>1.12E-4</v>
      </c>
      <c r="D9">
        <v>0.7</v>
      </c>
      <c r="E9">
        <v>4.1002E-3</v>
      </c>
      <c r="F9">
        <v>1.6800000000000002</v>
      </c>
      <c r="G9">
        <v>8.0000000000000002E-3</v>
      </c>
      <c r="H9">
        <v>2.9699999999999998</v>
      </c>
      <c r="J9" s="1">
        <f>W2*(1-EXP(-A9/S2))</f>
        <v>2.0599641127668642</v>
      </c>
      <c r="K9">
        <f>X2*(EXP(-C9/T2))</f>
        <v>0.70441945346395862</v>
      </c>
      <c r="L9">
        <f>Y2*(1-EXP(-E9/U2))</f>
        <v>1.2940274370888545</v>
      </c>
      <c r="N9">
        <f t="shared" si="0"/>
        <v>0.21156698503340848</v>
      </c>
      <c r="O9">
        <f t="shared" si="1"/>
        <v>1.9531568920096261E-5</v>
      </c>
      <c r="P9">
        <f>(F9-L9)^2</f>
        <v>0.14897481932019832</v>
      </c>
    </row>
    <row r="10" spans="1:25" x14ac:dyDescent="0.3">
      <c r="A10">
        <v>2.3999999999999998E-4</v>
      </c>
      <c r="B10">
        <v>1.76</v>
      </c>
      <c r="C10">
        <v>1.36E-4</v>
      </c>
      <c r="D10">
        <v>0.55999999999999994</v>
      </c>
      <c r="E10">
        <v>4.1006000000000003E-3</v>
      </c>
      <c r="F10">
        <v>1.96</v>
      </c>
      <c r="G10">
        <v>8.9999999999999993E-3</v>
      </c>
      <c r="H10">
        <v>2.0099999999999998</v>
      </c>
      <c r="J10" s="1">
        <f>W2*(1-EXP(-A10/S2))</f>
        <v>2.0599979927997558</v>
      </c>
      <c r="K10">
        <f>X2*(EXP(-C10/T2))</f>
        <v>0.60025707856651001</v>
      </c>
      <c r="L10">
        <f>Y2*(1-EXP(-E10/U2))</f>
        <v>1.2941181614503832</v>
      </c>
      <c r="N10">
        <f t="shared" si="0"/>
        <v>8.9998795683882332E-2</v>
      </c>
      <c r="O10">
        <f t="shared" si="1"/>
        <v>1.6206323747101638E-3</v>
      </c>
      <c r="P10">
        <f>(F10-L10)^2</f>
        <v>0.44339862291021792</v>
      </c>
    </row>
    <row r="11" spans="1:25" x14ac:dyDescent="0.3">
      <c r="A11">
        <v>2.9E-4</v>
      </c>
      <c r="B11">
        <v>1.88</v>
      </c>
      <c r="C11">
        <v>1.6799999999999999E-4</v>
      </c>
      <c r="D11">
        <v>0.42</v>
      </c>
      <c r="E11">
        <v>5.3E-3</v>
      </c>
      <c r="F11">
        <v>2.04</v>
      </c>
      <c r="G11">
        <v>0.01</v>
      </c>
      <c r="H11">
        <v>1.1299999999999999</v>
      </c>
      <c r="J11" s="1">
        <f>W2*(1-EXP(-A11/S2))</f>
        <v>2.0599998877357639</v>
      </c>
      <c r="K11">
        <f>X2*(EXP(-C11/T2))</f>
        <v>0.48492944540032162</v>
      </c>
      <c r="L11">
        <f>Y2*(1-EXP(-E11/U2))</f>
        <v>1.5426257398480367</v>
      </c>
      <c r="N11">
        <f t="shared" si="0"/>
        <v>3.2399959584887651E-2</v>
      </c>
      <c r="O11">
        <f t="shared" si="1"/>
        <v>4.2158328799933491E-3</v>
      </c>
      <c r="P11">
        <f>(F11-L11)^2</f>
        <v>0.24738115466171284</v>
      </c>
    </row>
    <row r="12" spans="1:25" x14ac:dyDescent="0.3">
      <c r="A12">
        <v>3.1E-4</v>
      </c>
      <c r="B12">
        <v>1.9</v>
      </c>
      <c r="C12">
        <v>1.92E-4</v>
      </c>
      <c r="D12">
        <v>0.33999999999999997</v>
      </c>
      <c r="E12">
        <v>6.1999999999999998E-3</v>
      </c>
      <c r="F12">
        <v>2.06</v>
      </c>
      <c r="G12">
        <v>1.0999999999999999E-2</v>
      </c>
      <c r="H12">
        <v>1.0099999999999998</v>
      </c>
      <c r="J12" s="1">
        <f>W2*(1-EXP(-A12/S2))</f>
        <v>2.0599999645756641</v>
      </c>
      <c r="K12">
        <f>X2*(EXP(-C12/T2))</f>
        <v>0.41322301758630825</v>
      </c>
      <c r="L12">
        <f>Y2*(1-EXP(-E12/U2))</f>
        <v>1.7013111874047635</v>
      </c>
      <c r="N12">
        <f t="shared" si="0"/>
        <v>2.559998866421381E-2</v>
      </c>
      <c r="O12">
        <f t="shared" si="1"/>
        <v>5.3616103044448115E-3</v>
      </c>
      <c r="P12">
        <f>(F12-L12)^2</f>
        <v>0.12865766428098072</v>
      </c>
    </row>
    <row r="13" spans="1:25" x14ac:dyDescent="0.3">
      <c r="A13">
        <v>3.4000000000000002E-4</v>
      </c>
      <c r="B13">
        <v>1.94</v>
      </c>
      <c r="C13">
        <v>2.1599999999999999E-4</v>
      </c>
      <c r="D13">
        <v>0.27999999999999997</v>
      </c>
      <c r="E13">
        <v>7.8000000000000005E-3</v>
      </c>
      <c r="F13">
        <v>2.06</v>
      </c>
      <c r="G13">
        <v>1.2E-2</v>
      </c>
      <c r="H13">
        <v>1.6099999999999999</v>
      </c>
      <c r="J13" s="1">
        <f>W2*(1-EXP(-A13/S2))</f>
        <v>2.0599999937209761</v>
      </c>
      <c r="K13">
        <f>X2*(EXP(-C13/T2))</f>
        <v>0.35211980605173027</v>
      </c>
      <c r="L13">
        <f>Y2*(1-EXP(-E13/U2))</f>
        <v>1.9346681018018954</v>
      </c>
      <c r="N13">
        <f t="shared" si="0"/>
        <v>1.4399998493034314E-2</v>
      </c>
      <c r="O13">
        <f t="shared" si="1"/>
        <v>5.2012664249391936E-3</v>
      </c>
      <c r="P13">
        <f>(F13-L13)^2</f>
        <v>1.5708084705940064E-2</v>
      </c>
    </row>
    <row r="14" spans="1:25" x14ac:dyDescent="0.3">
      <c r="A14">
        <v>4.0000000000000002E-4</v>
      </c>
      <c r="B14">
        <v>1.98</v>
      </c>
      <c r="C14">
        <v>2.3599999999999999E-4</v>
      </c>
      <c r="D14">
        <v>0.24000000000000002</v>
      </c>
      <c r="E14">
        <v>9.2999999999999992E-3</v>
      </c>
      <c r="F14">
        <v>2.06</v>
      </c>
      <c r="G14">
        <v>1.2999999999999999E-2</v>
      </c>
      <c r="H14">
        <v>2.29</v>
      </c>
      <c r="J14" s="1">
        <f>W2*(1-EXP(-A14/S2))</f>
        <v>2.0599999998027245</v>
      </c>
      <c r="K14">
        <f>X2*(EXP(-C14/T2))</f>
        <v>0.308161759351056</v>
      </c>
      <c r="L14">
        <f>Y2*(1-EXP(-E14/U2))</f>
        <v>2.1071612144280274</v>
      </c>
      <c r="N14">
        <f t="shared" si="0"/>
        <v>6.3999999684359269E-3</v>
      </c>
      <c r="O14">
        <f t="shared" si="1"/>
        <v>4.6460254378312667E-3</v>
      </c>
      <c r="P14">
        <f>(F14-L14)^2</f>
        <v>2.2241801463263743E-3</v>
      </c>
    </row>
    <row r="15" spans="1:25" x14ac:dyDescent="0.3">
      <c r="A15">
        <v>4.8000000000000001E-4</v>
      </c>
      <c r="B15">
        <v>2.02</v>
      </c>
      <c r="C15">
        <v>2.6800000000000001E-4</v>
      </c>
      <c r="D15">
        <v>0.18000000000000002</v>
      </c>
      <c r="G15">
        <v>1.4E-2</v>
      </c>
      <c r="H15">
        <v>2.5299999999999998</v>
      </c>
      <c r="J15" s="1">
        <f>W2*(1-EXP(-A15/S2))</f>
        <v>2.0599999999980443</v>
      </c>
      <c r="K15">
        <f>X2*(EXP(-C15/T2))</f>
        <v>0.2489545169755745</v>
      </c>
      <c r="N15">
        <f t="shared" si="0"/>
        <v>1.5999999998435412E-3</v>
      </c>
      <c r="O15">
        <f t="shared" si="1"/>
        <v>4.7547254113347887E-3</v>
      </c>
    </row>
    <row r="16" spans="1:25" x14ac:dyDescent="0.3">
      <c r="A16">
        <v>5.5999999999999995E-4</v>
      </c>
      <c r="B16">
        <v>2.04</v>
      </c>
      <c r="C16">
        <v>3.1199999999999999E-4</v>
      </c>
      <c r="D16">
        <v>0.12000000000000001</v>
      </c>
      <c r="G16">
        <v>1.4999999999999999E-2</v>
      </c>
      <c r="H16">
        <v>2.21</v>
      </c>
      <c r="J16" s="1">
        <f>W2*(1-EXP(-A16/S2))</f>
        <v>2.0599999999999805</v>
      </c>
      <c r="K16">
        <f>X2*(EXP(-C16/T2))</f>
        <v>0.18565824914039677</v>
      </c>
      <c r="N16">
        <f t="shared" si="0"/>
        <v>3.9999999999921912E-4</v>
      </c>
      <c r="O16">
        <f t="shared" si="1"/>
        <v>4.3110056801824127E-3</v>
      </c>
    </row>
    <row r="17" spans="1:16" x14ac:dyDescent="0.3">
      <c r="A17">
        <v>6.0999999999999997E-4</v>
      </c>
      <c r="B17">
        <v>2.04</v>
      </c>
      <c r="C17">
        <v>3.5199999999999999E-4</v>
      </c>
      <c r="D17">
        <v>0.08</v>
      </c>
      <c r="G17">
        <v>1.6E-2</v>
      </c>
      <c r="H17">
        <v>1.69</v>
      </c>
      <c r="J17" s="1">
        <f>W2*(1-EXP(-A17/S2))</f>
        <v>2.0599999999999987</v>
      </c>
      <c r="K17">
        <f>X2*(EXP(-C17/T2))</f>
        <v>0.14219713045100751</v>
      </c>
      <c r="N17">
        <f t="shared" si="0"/>
        <v>3.9999999999994744E-4</v>
      </c>
      <c r="O17">
        <f t="shared" si="1"/>
        <v>3.868483036339646E-3</v>
      </c>
    </row>
    <row r="18" spans="1:16" x14ac:dyDescent="0.3">
      <c r="A18">
        <v>6.7999999999999994E-4</v>
      </c>
      <c r="B18">
        <v>2.06</v>
      </c>
      <c r="C18">
        <v>3.88E-4</v>
      </c>
      <c r="D18">
        <v>0.06</v>
      </c>
      <c r="G18">
        <v>1.7000000000000001E-2</v>
      </c>
      <c r="H18">
        <v>1.4099999999999997</v>
      </c>
      <c r="J18" s="1">
        <f>W2*(1-EXP(-A18/S2))</f>
        <v>2.06</v>
      </c>
      <c r="K18">
        <f>X2*(EXP(-C18/T2))</f>
        <v>0.11185354583405914</v>
      </c>
      <c r="N18">
        <f t="shared" si="0"/>
        <v>0</v>
      </c>
      <c r="O18">
        <f t="shared" si="1"/>
        <v>2.6887902155648723E-3</v>
      </c>
    </row>
    <row r="19" spans="1:16" x14ac:dyDescent="0.3">
      <c r="A19">
        <v>9.5E-4</v>
      </c>
      <c r="B19">
        <v>2.06</v>
      </c>
      <c r="C19">
        <v>4.2400000000000001E-4</v>
      </c>
      <c r="D19">
        <v>3.9999999999999994E-2</v>
      </c>
      <c r="G19">
        <v>1.7999999999999999E-2</v>
      </c>
      <c r="H19">
        <v>1.5699999999999998</v>
      </c>
      <c r="J19" s="1">
        <f>W2*(1-EXP(-A19/S2))</f>
        <v>2.06</v>
      </c>
      <c r="K19">
        <f>X2*(EXP(-C19/T2))</f>
        <v>8.7985008389199357E-2</v>
      </c>
      <c r="N19">
        <f t="shared" si="0"/>
        <v>0</v>
      </c>
      <c r="O19">
        <f t="shared" si="1"/>
        <v>2.3025610301115333E-3</v>
      </c>
    </row>
    <row r="20" spans="1:16" x14ac:dyDescent="0.3">
      <c r="A20">
        <v>1.07E-3</v>
      </c>
      <c r="B20">
        <v>2.06</v>
      </c>
      <c r="C20">
        <v>4.6799999999999999E-4</v>
      </c>
      <c r="D20">
        <v>3.9999999999999994E-2</v>
      </c>
      <c r="G20">
        <v>1.9E-2</v>
      </c>
      <c r="H20">
        <v>1.9299999999999997</v>
      </c>
      <c r="J20" s="1">
        <f>W2*(1-EXP(-A20/S2))</f>
        <v>2.06</v>
      </c>
      <c r="K20">
        <f>X2*(EXP(-C20/T2))</f>
        <v>6.5614967772384528E-2</v>
      </c>
      <c r="N20">
        <f t="shared" si="0"/>
        <v>0</v>
      </c>
      <c r="O20">
        <f t="shared" si="1"/>
        <v>6.5612657398029833E-4</v>
      </c>
    </row>
    <row r="21" spans="1:16" x14ac:dyDescent="0.3">
      <c r="C21">
        <v>5.0799999999999999E-4</v>
      </c>
      <c r="D21">
        <v>0.02</v>
      </c>
      <c r="G21">
        <v>0.02</v>
      </c>
      <c r="H21">
        <v>2.17</v>
      </c>
      <c r="K21">
        <f>X2*(EXP(-C21/T2))</f>
        <v>5.0255025968777553E-2</v>
      </c>
      <c r="O21">
        <f t="shared" si="1"/>
        <v>9.1536659637140411E-4</v>
      </c>
    </row>
    <row r="22" spans="1:16" x14ac:dyDescent="0.3">
      <c r="C22">
        <v>5.8399999999999999E-4</v>
      </c>
      <c r="D22">
        <v>0.02</v>
      </c>
      <c r="G22">
        <v>2.1000000000000001E-2</v>
      </c>
      <c r="H22">
        <v>2.13</v>
      </c>
      <c r="K22">
        <f>X2*(EXP(-C22/T2))</f>
        <v>3.0277151037547911E-2</v>
      </c>
      <c r="O22">
        <f t="shared" si="1"/>
        <v>1.056198334485721E-4</v>
      </c>
    </row>
    <row r="23" spans="1:16" x14ac:dyDescent="0.3">
      <c r="C23">
        <v>7.1599999999999995E-4</v>
      </c>
      <c r="D23">
        <v>0</v>
      </c>
      <c r="G23">
        <v>2.1999999999999999E-2</v>
      </c>
      <c r="H23">
        <v>1.9299999999999997</v>
      </c>
      <c r="K23">
        <f>X2*(EXP(-C23/T2))</f>
        <v>1.255734214738472E-2</v>
      </c>
    </row>
    <row r="24" spans="1:16" x14ac:dyDescent="0.3">
      <c r="C24">
        <v>8.0800000000000002E-4</v>
      </c>
      <c r="D24">
        <v>0</v>
      </c>
      <c r="G24">
        <v>2.3E-2</v>
      </c>
      <c r="H24">
        <v>1.69</v>
      </c>
      <c r="K24">
        <f>X2*(EXP(-C24/T2))</f>
        <v>6.799920979472655E-3</v>
      </c>
    </row>
    <row r="25" spans="1:16" x14ac:dyDescent="0.3">
      <c r="G25">
        <v>2.4E-2</v>
      </c>
      <c r="H25">
        <v>1.65</v>
      </c>
    </row>
    <row r="26" spans="1:16" x14ac:dyDescent="0.3">
      <c r="G26">
        <v>2.5000000000000001E-2</v>
      </c>
      <c r="H26">
        <v>1.81</v>
      </c>
      <c r="N26" t="s">
        <v>23</v>
      </c>
      <c r="O26" t="s">
        <v>23</v>
      </c>
      <c r="P26" t="s">
        <v>23</v>
      </c>
    </row>
    <row r="27" spans="1:16" x14ac:dyDescent="0.3">
      <c r="G27">
        <v>2.5999999999999999E-2</v>
      </c>
      <c r="H27">
        <v>1.9699999999999998</v>
      </c>
      <c r="N27">
        <f>SUM(N2:N20)</f>
        <v>7.5454949748605138</v>
      </c>
      <c r="O27">
        <f>SUM(O2:O22)</f>
        <v>0.37553857626083326</v>
      </c>
      <c r="P27">
        <f>SUM(P2:P14)</f>
        <v>3.7469715788937856</v>
      </c>
    </row>
    <row r="28" spans="1:16" x14ac:dyDescent="0.3">
      <c r="G28">
        <v>2.7E-2</v>
      </c>
      <c r="H28">
        <v>2.0499999999999998</v>
      </c>
    </row>
    <row r="29" spans="1:16" x14ac:dyDescent="0.3">
      <c r="G29">
        <v>2.8000000000000001E-2</v>
      </c>
      <c r="H29">
        <v>1.9699999999999998</v>
      </c>
    </row>
    <row r="30" spans="1:16" x14ac:dyDescent="0.3">
      <c r="G30">
        <v>2.9000000000000001E-2</v>
      </c>
      <c r="H30">
        <v>1.81</v>
      </c>
    </row>
    <row r="31" spans="1:16" x14ac:dyDescent="0.3">
      <c r="G31">
        <v>0.03</v>
      </c>
      <c r="H31">
        <v>1.77</v>
      </c>
    </row>
    <row r="32" spans="1:16" x14ac:dyDescent="0.3">
      <c r="G32">
        <v>3.1E-2</v>
      </c>
      <c r="H32">
        <v>1.81</v>
      </c>
    </row>
    <row r="33" spans="7:8" x14ac:dyDescent="0.3">
      <c r="G33">
        <v>3.2000000000000001E-2</v>
      </c>
      <c r="H33">
        <v>1.8899999999999997</v>
      </c>
    </row>
    <row r="34" spans="7:8" x14ac:dyDescent="0.3">
      <c r="G34">
        <v>3.3000000000000002E-2</v>
      </c>
      <c r="H34">
        <v>1.9699999999999998</v>
      </c>
    </row>
    <row r="35" spans="7:8" x14ac:dyDescent="0.3">
      <c r="G35">
        <v>3.4000000000000002E-2</v>
      </c>
      <c r="H35">
        <v>1.9299999999999997</v>
      </c>
    </row>
    <row r="36" spans="7:8" x14ac:dyDescent="0.3">
      <c r="G36">
        <v>3.5000000000000003E-2</v>
      </c>
      <c r="H36">
        <v>1.8899999999999997</v>
      </c>
    </row>
    <row r="37" spans="7:8" x14ac:dyDescent="0.3">
      <c r="G37">
        <v>3.5999999999999997E-2</v>
      </c>
      <c r="H37">
        <v>1.81</v>
      </c>
    </row>
    <row r="38" spans="7:8" x14ac:dyDescent="0.3">
      <c r="G38">
        <v>3.6999999999999998E-2</v>
      </c>
      <c r="H38">
        <v>1.81</v>
      </c>
    </row>
    <row r="39" spans="7:8" x14ac:dyDescent="0.3">
      <c r="G39">
        <v>3.7999999999999999E-2</v>
      </c>
      <c r="H39">
        <v>1.85</v>
      </c>
    </row>
    <row r="40" spans="7:8" x14ac:dyDescent="0.3">
      <c r="G40">
        <v>3.9E-2</v>
      </c>
      <c r="H40">
        <v>1.9299999999999997</v>
      </c>
    </row>
    <row r="41" spans="7:8" x14ac:dyDescent="0.3">
      <c r="G41">
        <v>0.04</v>
      </c>
      <c r="H41">
        <v>1.9299999999999997</v>
      </c>
    </row>
    <row r="42" spans="7:8" x14ac:dyDescent="0.3">
      <c r="G42">
        <v>4.1000000000000002E-2</v>
      </c>
      <c r="H42">
        <v>1.8899999999999997</v>
      </c>
    </row>
    <row r="43" spans="7:8" x14ac:dyDescent="0.3">
      <c r="G43">
        <v>4.2000000000000003E-2</v>
      </c>
      <c r="H43">
        <v>1.85</v>
      </c>
    </row>
    <row r="44" spans="7:8" x14ac:dyDescent="0.3">
      <c r="G44">
        <v>4.2999999999999997E-2</v>
      </c>
      <c r="H44">
        <v>1.85</v>
      </c>
    </row>
    <row r="45" spans="7:8" x14ac:dyDescent="0.3">
      <c r="G45">
        <v>4.3999999999999997E-2</v>
      </c>
      <c r="H45">
        <v>1.85</v>
      </c>
    </row>
    <row r="46" spans="7:8" x14ac:dyDescent="0.3">
      <c r="G46">
        <v>4.5999999999999999E-2</v>
      </c>
      <c r="H46">
        <v>1.8899999999999997</v>
      </c>
    </row>
    <row r="47" spans="7:8" x14ac:dyDescent="0.3">
      <c r="G47">
        <v>4.7E-2</v>
      </c>
      <c r="H47">
        <v>1.8899999999999997</v>
      </c>
    </row>
    <row r="48" spans="7:8" x14ac:dyDescent="0.3">
      <c r="G48">
        <v>4.8000000000000001E-2</v>
      </c>
      <c r="H48">
        <v>1.8899999999999997</v>
      </c>
    </row>
    <row r="49" spans="7:8" x14ac:dyDescent="0.3">
      <c r="G49">
        <v>4.9000000000000002E-2</v>
      </c>
      <c r="H49">
        <v>1.85</v>
      </c>
    </row>
    <row r="50" spans="7:8" x14ac:dyDescent="0.3">
      <c r="G50">
        <v>0.05</v>
      </c>
      <c r="H50">
        <v>1.85</v>
      </c>
    </row>
    <row r="51" spans="7:8" x14ac:dyDescent="0.3">
      <c r="G51">
        <v>5.0999999999999997E-2</v>
      </c>
      <c r="H51">
        <v>1.8899999999999997</v>
      </c>
    </row>
    <row r="52" spans="7:8" x14ac:dyDescent="0.3">
      <c r="G52">
        <v>5.1999999999999998E-2</v>
      </c>
      <c r="H52">
        <v>1.8899999999999997</v>
      </c>
    </row>
    <row r="53" spans="7:8" x14ac:dyDescent="0.3">
      <c r="G53">
        <v>5.2999999999999999E-2</v>
      </c>
      <c r="H53">
        <v>1.8899999999999997</v>
      </c>
    </row>
    <row r="54" spans="7:8" x14ac:dyDescent="0.3">
      <c r="G54">
        <v>5.3999999999999999E-2</v>
      </c>
      <c r="H54">
        <v>1.8899999999999997</v>
      </c>
    </row>
    <row r="55" spans="7:8" x14ac:dyDescent="0.3">
      <c r="G55">
        <v>5.5E-2</v>
      </c>
      <c r="H55">
        <v>1.8899999999999997</v>
      </c>
    </row>
    <row r="56" spans="7:8" x14ac:dyDescent="0.3">
      <c r="G56">
        <v>5.6000000000000001E-2</v>
      </c>
      <c r="H56">
        <v>1.8899999999999997</v>
      </c>
    </row>
    <row r="57" spans="7:8" x14ac:dyDescent="0.3">
      <c r="G57">
        <v>5.7000000000000002E-2</v>
      </c>
      <c r="H57">
        <v>1.8899999999999997</v>
      </c>
    </row>
    <row r="58" spans="7:8" x14ac:dyDescent="0.3">
      <c r="G58">
        <v>5.8000000000000003E-2</v>
      </c>
      <c r="H58">
        <v>1.8899999999999997</v>
      </c>
    </row>
    <row r="59" spans="7:8" x14ac:dyDescent="0.3">
      <c r="G59">
        <v>5.8999999999999997E-2</v>
      </c>
      <c r="H59">
        <v>1.8899999999999997</v>
      </c>
    </row>
    <row r="60" spans="7:8" x14ac:dyDescent="0.3">
      <c r="G60">
        <v>0.06</v>
      </c>
      <c r="H60">
        <v>1.8899999999999997</v>
      </c>
    </row>
    <row r="61" spans="7:8" x14ac:dyDescent="0.3">
      <c r="G61">
        <v>6.0999999999999999E-2</v>
      </c>
      <c r="H61">
        <v>1.8899999999999997</v>
      </c>
    </row>
    <row r="62" spans="7:8" x14ac:dyDescent="0.3">
      <c r="G62">
        <v>6.2E-2</v>
      </c>
      <c r="H62">
        <v>1.8899999999999997</v>
      </c>
    </row>
    <row r="63" spans="7:8" x14ac:dyDescent="0.3">
      <c r="G63">
        <v>6.3E-2</v>
      </c>
      <c r="H63">
        <v>1.8899999999999997</v>
      </c>
    </row>
    <row r="64" spans="7:8" x14ac:dyDescent="0.3">
      <c r="G64">
        <v>6.4000000000000001E-2</v>
      </c>
      <c r="H64">
        <v>1.8899999999999997</v>
      </c>
    </row>
    <row r="65" spans="7:8" x14ac:dyDescent="0.3">
      <c r="G65">
        <v>6.5000000000000002E-2</v>
      </c>
      <c r="H65">
        <v>1.8899999999999997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Fowler</dc:creator>
  <cp:lastModifiedBy>Joshua Fowler</cp:lastModifiedBy>
  <dcterms:created xsi:type="dcterms:W3CDTF">2018-09-29T21:43:07Z</dcterms:created>
  <dcterms:modified xsi:type="dcterms:W3CDTF">2018-09-30T04:30:36Z</dcterms:modified>
</cp:coreProperties>
</file>