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_Lab\"/>
    </mc:Choice>
  </mc:AlternateContent>
  <xr:revisionPtr revIDLastSave="0" documentId="13_ncr:1_{4EB1B3B4-3810-4D21-8BC4-F4ECA6EE7B5A}" xr6:coauthVersionLast="36" xr6:coauthVersionMax="36" xr10:uidLastSave="{00000000-0000-0000-0000-000000000000}"/>
  <bookViews>
    <workbookView xWindow="0" yWindow="0" windowWidth="10752" windowHeight="5112" xr2:uid="{00000000-000D-0000-FFFF-FFFF00000000}"/>
  </bookViews>
  <sheets>
    <sheet name="Lab_4_Data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" i="1" l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Q2" i="1"/>
  <c r="Q12" i="1"/>
  <c r="Q13" i="1"/>
  <c r="Q14" i="1"/>
  <c r="Q15" i="1"/>
  <c r="Q16" i="1"/>
  <c r="Q17" i="1"/>
  <c r="Q18" i="1"/>
  <c r="Q19" i="1"/>
  <c r="Q20" i="1"/>
  <c r="Q21" i="1"/>
  <c r="Q22" i="1"/>
  <c r="Q3" i="1"/>
  <c r="Q4" i="1"/>
  <c r="Q5" i="1"/>
  <c r="Q6" i="1"/>
  <c r="Q7" i="1"/>
  <c r="Q8" i="1"/>
  <c r="Q9" i="1"/>
  <c r="Q10" i="1"/>
  <c r="Q11" i="1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2" i="1"/>
  <c r="L5" i="1"/>
  <c r="L9" i="1"/>
  <c r="L10" i="1"/>
  <c r="L18" i="1"/>
  <c r="L21" i="1"/>
  <c r="L23" i="1"/>
  <c r="L24" i="1"/>
  <c r="F3" i="1"/>
  <c r="F9" i="1"/>
  <c r="F10" i="1"/>
  <c r="F11" i="1"/>
  <c r="F17" i="1"/>
  <c r="F18" i="1"/>
  <c r="F19" i="1"/>
  <c r="F4" i="1"/>
  <c r="F5" i="1"/>
  <c r="F6" i="1"/>
  <c r="F7" i="1"/>
  <c r="F8" i="1"/>
  <c r="F12" i="1"/>
  <c r="F13" i="1"/>
  <c r="F14" i="1"/>
  <c r="F15" i="1"/>
  <c r="F16" i="1"/>
  <c r="F20" i="1"/>
  <c r="F2" i="1"/>
  <c r="L3" i="1"/>
  <c r="L4" i="1"/>
  <c r="L6" i="1"/>
  <c r="L7" i="1"/>
  <c r="L8" i="1"/>
  <c r="L11" i="1"/>
  <c r="L12" i="1"/>
  <c r="L13" i="1"/>
  <c r="L14" i="1"/>
  <c r="L15" i="1"/>
  <c r="L16" i="1"/>
  <c r="L17" i="1"/>
  <c r="L19" i="1"/>
  <c r="L20" i="1"/>
  <c r="L22" i="1"/>
  <c r="L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<sst xmlns="http://schemas.openxmlformats.org/spreadsheetml/2006/main" count="29" uniqueCount="29">
  <si>
    <t>RC1 Time (microsec)</t>
  </si>
  <si>
    <t>RC1 Time (sec)</t>
  </si>
  <si>
    <t>RC1 Voltage</t>
  </si>
  <si>
    <t>RC1 Offset Voltage</t>
  </si>
  <si>
    <t>RC1 Offset Time</t>
  </si>
  <si>
    <t>RC1 Vlog</t>
  </si>
  <si>
    <t>RC1 Freq (Hz)</t>
  </si>
  <si>
    <t>RC2 Time (microsec)</t>
  </si>
  <si>
    <t>RC2 Time (sec)</t>
  </si>
  <si>
    <t>RC2 Voltage</t>
  </si>
  <si>
    <t>RC2 Vlog</t>
  </si>
  <si>
    <t>RC2 Offset Time</t>
  </si>
  <si>
    <t>RC2 Freq (Hz)</t>
  </si>
  <si>
    <t>RC3 Time (millisec)</t>
  </si>
  <si>
    <t>RC3 Time (sec)</t>
  </si>
  <si>
    <t>RC3 Freq</t>
  </si>
  <si>
    <t>OAC 1 Vs+</t>
  </si>
  <si>
    <t>OAC1 Vs-</t>
  </si>
  <si>
    <t>OAC1 Time (millisec)</t>
  </si>
  <si>
    <t>OAC1 Time (sec)</t>
  </si>
  <si>
    <t>OAC1 Offset Voltage</t>
  </si>
  <si>
    <t>OAC2 Pk-Pk</t>
  </si>
  <si>
    <t>OAC1 Freq</t>
  </si>
  <si>
    <t>Offset Voltage</t>
  </si>
  <si>
    <t>RC3 V Off</t>
  </si>
  <si>
    <t>RC3 Offset Time (Sec)</t>
  </si>
  <si>
    <t>RC3 Voltage (V)</t>
  </si>
  <si>
    <t>OA1 Voltage (V)</t>
  </si>
  <si>
    <t>OA1 Offset 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</si>
</sst>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"/>
  <sheetViews>
    <sheetView tabSelected="1" topLeftCell="M1" workbookViewId="0">
      <selection activeCell="Y1" sqref="Y1:Y65"/>
    </sheetView>
  </sheetViews>
  <sheetFormatPr defaultRowHeight="14.4" x14ac:dyDescent="0.3"/>
  <cols>
    <col min="1" max="1" width="17.77734375" bestFit="1" customWidth="1"/>
    <col min="2" max="2" width="12.88671875" bestFit="1" customWidth="1"/>
    <col min="3" max="3" width="12.77734375" bestFit="1" customWidth="1"/>
    <col min="4" max="4" width="16.5546875" bestFit="1" customWidth="1"/>
    <col min="5" max="5" width="14.33203125" bestFit="1" customWidth="1"/>
    <col min="7" max="7" width="11.77734375" bestFit="1" customWidth="1"/>
    <col min="8" max="8" width="17.77734375" bestFit="1" customWidth="1"/>
    <col min="9" max="9" width="12.88671875" bestFit="1" customWidth="1"/>
    <col min="10" max="10" width="10.88671875" bestFit="1" customWidth="1"/>
    <col min="11" max="11" width="10.88671875" customWidth="1"/>
    <col min="12" max="12" width="12.6640625" bestFit="1" customWidth="1"/>
    <col min="13" max="13" width="14.33203125" bestFit="1" customWidth="1"/>
    <col min="16" max="16" width="12.88671875" bestFit="1" customWidth="1"/>
    <col min="18" max="18" width="13.6640625" bestFit="1" customWidth="1"/>
    <col min="19" max="19" width="18.77734375" bestFit="1" customWidth="1"/>
    <col min="25" max="25" width="13.88671875" bestFit="1" customWidth="1"/>
    <col min="26" max="26" width="20" bestFit="1" customWidth="1"/>
    <col min="27" max="27" width="18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24</v>
      </c>
      <c r="R1" t="s">
        <v>26</v>
      </c>
      <c r="S1" t="s">
        <v>25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27</v>
      </c>
      <c r="Z1" t="s">
        <v>28</v>
      </c>
      <c r="AA1" t="s">
        <v>20</v>
      </c>
      <c r="AB1" t="s">
        <v>21</v>
      </c>
      <c r="AC1" t="s">
        <v>22</v>
      </c>
    </row>
    <row r="2" spans="1:29" x14ac:dyDescent="0.3">
      <c r="A2">
        <v>-110</v>
      </c>
      <c r="B2">
        <v>-1.1E-4</v>
      </c>
      <c r="C2">
        <v>-1.02</v>
      </c>
      <c r="D2">
        <f>C2 + 1.02</f>
        <v>0</v>
      </c>
      <c r="E2">
        <f>B2+0.00011</f>
        <v>0</v>
      </c>
      <c r="F2" t="e">
        <f>LOG(D2)</f>
        <v>#NUM!</v>
      </c>
      <c r="G2">
        <v>469</v>
      </c>
      <c r="H2">
        <v>8</v>
      </c>
      <c r="I2">
        <v>7.9999999999999996E-6</v>
      </c>
      <c r="J2">
        <v>1.88</v>
      </c>
      <c r="K2">
        <f t="shared" ref="K2:K23" si="0">J2-0.02</f>
        <v>1.8599999999999999</v>
      </c>
      <c r="L2">
        <f>LOG(K2)</f>
        <v>0.26951294421791627</v>
      </c>
      <c r="M2">
        <v>0</v>
      </c>
      <c r="N2">
        <v>469</v>
      </c>
      <c r="O2">
        <v>-6</v>
      </c>
      <c r="P2">
        <v>-6.0000000000000001E-3</v>
      </c>
      <c r="Q2">
        <f>R2 + 1.02</f>
        <v>2.06</v>
      </c>
      <c r="R2">
        <v>1.04</v>
      </c>
      <c r="S2">
        <v>0</v>
      </c>
      <c r="T2">
        <v>88</v>
      </c>
      <c r="U2">
        <v>5.98</v>
      </c>
      <c r="V2">
        <v>-6</v>
      </c>
      <c r="W2">
        <v>1</v>
      </c>
      <c r="X2">
        <v>1E-3</v>
      </c>
      <c r="Y2">
        <v>5.24</v>
      </c>
      <c r="Z2">
        <v>0</v>
      </c>
      <c r="AA2">
        <f>Y2-0.87</f>
        <v>4.37</v>
      </c>
      <c r="AB2">
        <v>7.0000000000000001E-3</v>
      </c>
      <c r="AC2">
        <v>7</v>
      </c>
    </row>
    <row r="3" spans="1:29" x14ac:dyDescent="0.3">
      <c r="A3">
        <v>-70</v>
      </c>
      <c r="B3">
        <v>-6.9999999999999994E-5</v>
      </c>
      <c r="C3">
        <v>-0.64</v>
      </c>
      <c r="D3">
        <f t="shared" ref="D3:D20" si="1">C3 + 1.02</f>
        <v>0.38</v>
      </c>
      <c r="E3">
        <f t="shared" ref="E3:E20" si="2">B3+0.00011</f>
        <v>4.000000000000001E-5</v>
      </c>
      <c r="F3">
        <f t="shared" ref="F3:F20" si="3">LOG(D3)</f>
        <v>-0.42021640338318983</v>
      </c>
      <c r="G3">
        <v>469</v>
      </c>
      <c r="H3">
        <v>20</v>
      </c>
      <c r="I3">
        <v>2.0000000000000002E-5</v>
      </c>
      <c r="J3">
        <v>1.7</v>
      </c>
      <c r="K3">
        <f t="shared" si="0"/>
        <v>1.68</v>
      </c>
      <c r="L3">
        <f t="shared" ref="L3:L24" si="4">LOG(K3)</f>
        <v>0.22530928172586284</v>
      </c>
      <c r="M3">
        <v>1.2E-5</v>
      </c>
      <c r="N3">
        <v>469</v>
      </c>
      <c r="O3">
        <v>-5.8</v>
      </c>
      <c r="P3">
        <v>-5.7999999999999996E-3</v>
      </c>
      <c r="Q3">
        <f t="shared" ref="Q3:Q10" si="5">R3 + 1.02</f>
        <v>1.5</v>
      </c>
      <c r="R3">
        <v>0.48</v>
      </c>
      <c r="S3">
        <v>2.0000000000000001E-4</v>
      </c>
      <c r="T3">
        <v>88</v>
      </c>
      <c r="U3">
        <v>5.98</v>
      </c>
      <c r="V3">
        <v>-6</v>
      </c>
      <c r="W3">
        <v>3</v>
      </c>
      <c r="X3">
        <v>3.0000000000000001E-3</v>
      </c>
      <c r="Y3">
        <v>4.08</v>
      </c>
      <c r="Z3">
        <v>2E-3</v>
      </c>
      <c r="AA3">
        <f t="shared" ref="AA3:AA65" si="6">Y3-0.87</f>
        <v>3.21</v>
      </c>
      <c r="AB3">
        <v>6.0000000000000001E-3</v>
      </c>
      <c r="AC3">
        <v>7</v>
      </c>
    </row>
    <row r="4" spans="1:29" x14ac:dyDescent="0.3">
      <c r="A4">
        <v>-50</v>
      </c>
      <c r="B4">
        <v>-5.0000000000000002E-5</v>
      </c>
      <c r="C4">
        <v>-0.36</v>
      </c>
      <c r="D4">
        <f t="shared" si="1"/>
        <v>0.66</v>
      </c>
      <c r="E4">
        <f t="shared" si="2"/>
        <v>6.0000000000000002E-5</v>
      </c>
      <c r="F4">
        <f t="shared" si="3"/>
        <v>-0.18045606445813131</v>
      </c>
      <c r="G4">
        <v>469</v>
      </c>
      <c r="H4">
        <v>36</v>
      </c>
      <c r="I4">
        <v>3.6000000000000001E-5</v>
      </c>
      <c r="J4">
        <v>1.48</v>
      </c>
      <c r="K4">
        <f t="shared" si="0"/>
        <v>1.46</v>
      </c>
      <c r="L4">
        <f t="shared" si="4"/>
        <v>0.16435285578443709</v>
      </c>
      <c r="M4">
        <v>2.8E-5</v>
      </c>
      <c r="N4">
        <v>469</v>
      </c>
      <c r="O4">
        <v>-5.7</v>
      </c>
      <c r="P4">
        <v>-5.7000000000000002E-3</v>
      </c>
      <c r="Q4">
        <f t="shared" si="5"/>
        <v>1.04</v>
      </c>
      <c r="R4">
        <v>0.02</v>
      </c>
      <c r="S4">
        <v>2.9999999999999997E-4</v>
      </c>
      <c r="T4">
        <v>88</v>
      </c>
      <c r="U4">
        <v>5.98</v>
      </c>
      <c r="V4">
        <v>-6</v>
      </c>
      <c r="W4">
        <v>4</v>
      </c>
      <c r="X4">
        <v>4.0000000000000001E-3</v>
      </c>
      <c r="Y4">
        <v>2</v>
      </c>
      <c r="Z4">
        <v>3.0000000000000001E-3</v>
      </c>
      <c r="AA4">
        <f t="shared" si="6"/>
        <v>1.1299999999999999</v>
      </c>
      <c r="AB4">
        <v>6.0000000000000001E-3</v>
      </c>
      <c r="AC4">
        <v>7</v>
      </c>
    </row>
    <row r="5" spans="1:29" x14ac:dyDescent="0.3">
      <c r="A5">
        <v>-30</v>
      </c>
      <c r="B5">
        <v>-3.0000000000000001E-5</v>
      </c>
      <c r="C5">
        <v>-0.14000000000000001</v>
      </c>
      <c r="D5">
        <f t="shared" si="1"/>
        <v>0.88</v>
      </c>
      <c r="E5">
        <f t="shared" si="2"/>
        <v>8.0000000000000007E-5</v>
      </c>
      <c r="F5">
        <f t="shared" si="3"/>
        <v>-5.551732784983137E-2</v>
      </c>
      <c r="G5">
        <v>469</v>
      </c>
      <c r="H5">
        <v>48</v>
      </c>
      <c r="I5">
        <v>4.8000000000000001E-5</v>
      </c>
      <c r="J5">
        <v>1.34</v>
      </c>
      <c r="K5">
        <f t="shared" si="0"/>
        <v>1.32</v>
      </c>
      <c r="L5">
        <f t="shared" si="4"/>
        <v>0.12057393120584989</v>
      </c>
      <c r="M5">
        <v>4.0000000000000003E-5</v>
      </c>
      <c r="N5">
        <v>469</v>
      </c>
      <c r="O5">
        <v>-5.6</v>
      </c>
      <c r="P5">
        <v>-5.5999999999999999E-3</v>
      </c>
      <c r="Q5">
        <f t="shared" si="5"/>
        <v>0.72</v>
      </c>
      <c r="R5">
        <v>-0.3</v>
      </c>
      <c r="S5">
        <v>4.0000000000000002E-4</v>
      </c>
      <c r="T5">
        <v>88</v>
      </c>
      <c r="U5">
        <v>5.98</v>
      </c>
      <c r="V5">
        <v>-6</v>
      </c>
      <c r="W5">
        <v>5</v>
      </c>
      <c r="X5">
        <v>5.0000000000000001E-3</v>
      </c>
      <c r="Y5">
        <v>0.88</v>
      </c>
      <c r="Z5">
        <v>4.0000000000000001E-3</v>
      </c>
      <c r="AA5">
        <f t="shared" si="6"/>
        <v>1.0000000000000009E-2</v>
      </c>
      <c r="AB5">
        <v>6.0000000000000001E-3</v>
      </c>
      <c r="AC5">
        <v>7</v>
      </c>
    </row>
    <row r="6" spans="1:29" x14ac:dyDescent="0.3">
      <c r="A6">
        <v>-10</v>
      </c>
      <c r="B6">
        <v>-1.0000000000000001E-5</v>
      </c>
      <c r="C6">
        <v>0.06</v>
      </c>
      <c r="D6">
        <f t="shared" si="1"/>
        <v>1.08</v>
      </c>
      <c r="E6">
        <f t="shared" si="2"/>
        <v>1E-4</v>
      </c>
      <c r="F6">
        <f t="shared" si="3"/>
        <v>3.342375548694973E-2</v>
      </c>
      <c r="G6">
        <v>469</v>
      </c>
      <c r="H6">
        <v>68</v>
      </c>
      <c r="I6">
        <v>6.7999999999999999E-5</v>
      </c>
      <c r="J6">
        <v>1.1200000000000001</v>
      </c>
      <c r="K6">
        <f t="shared" si="0"/>
        <v>1.1000000000000001</v>
      </c>
      <c r="L6">
        <f t="shared" si="4"/>
        <v>4.1392685158225077E-2</v>
      </c>
      <c r="M6">
        <v>6.0000000000000002E-5</v>
      </c>
      <c r="N6">
        <v>469</v>
      </c>
      <c r="O6">
        <v>-5.5</v>
      </c>
      <c r="P6">
        <v>-5.4999999999999997E-3</v>
      </c>
      <c r="Q6">
        <f t="shared" si="5"/>
        <v>0.52</v>
      </c>
      <c r="R6">
        <v>-0.5</v>
      </c>
      <c r="S6">
        <v>5.0000000000000001E-4</v>
      </c>
      <c r="T6">
        <v>88</v>
      </c>
      <c r="U6">
        <v>5.98</v>
      </c>
      <c r="V6">
        <v>-6</v>
      </c>
      <c r="W6">
        <v>6</v>
      </c>
      <c r="X6">
        <v>6.0000000000000001E-3</v>
      </c>
      <c r="Y6">
        <v>1.48</v>
      </c>
      <c r="Z6">
        <v>5.0000000000000001E-3</v>
      </c>
      <c r="AA6">
        <f t="shared" si="6"/>
        <v>0.61</v>
      </c>
      <c r="AB6">
        <v>6.0000000000000001E-3</v>
      </c>
      <c r="AC6">
        <v>7</v>
      </c>
    </row>
    <row r="7" spans="1:29" x14ac:dyDescent="0.3">
      <c r="A7">
        <v>20</v>
      </c>
      <c r="B7">
        <v>2.0000000000000002E-5</v>
      </c>
      <c r="C7">
        <v>0.28000000000000003</v>
      </c>
      <c r="D7">
        <f t="shared" si="1"/>
        <v>1.3</v>
      </c>
      <c r="E7">
        <f t="shared" si="2"/>
        <v>1.3000000000000002E-4</v>
      </c>
      <c r="F7">
        <f t="shared" si="3"/>
        <v>0.11394335230683679</v>
      </c>
      <c r="G7">
        <v>469</v>
      </c>
      <c r="H7">
        <v>84</v>
      </c>
      <c r="I7">
        <v>8.3999999999999995E-5</v>
      </c>
      <c r="J7">
        <v>0.98</v>
      </c>
      <c r="K7">
        <f t="shared" si="0"/>
        <v>0.96</v>
      </c>
      <c r="L7">
        <f t="shared" si="4"/>
        <v>-1.7728766960431602E-2</v>
      </c>
      <c r="M7">
        <v>7.6000000000000004E-5</v>
      </c>
      <c r="N7">
        <v>469</v>
      </c>
      <c r="O7">
        <v>-5.3</v>
      </c>
      <c r="P7">
        <v>-5.3E-3</v>
      </c>
      <c r="Q7">
        <f t="shared" si="5"/>
        <v>0.24</v>
      </c>
      <c r="R7">
        <v>-0.78</v>
      </c>
      <c r="S7">
        <v>6.9999999999999999E-4</v>
      </c>
      <c r="T7">
        <v>88</v>
      </c>
      <c r="U7">
        <v>5.98</v>
      </c>
      <c r="V7">
        <v>-6</v>
      </c>
      <c r="W7">
        <v>7</v>
      </c>
      <c r="X7">
        <v>7.0000000000000001E-3</v>
      </c>
      <c r="Y7">
        <v>2.92</v>
      </c>
      <c r="Z7">
        <v>6.0000000000000001E-3</v>
      </c>
      <c r="AA7">
        <f t="shared" si="6"/>
        <v>2.0499999999999998</v>
      </c>
      <c r="AB7">
        <v>6.0000000000000001E-3</v>
      </c>
      <c r="AC7">
        <v>7</v>
      </c>
    </row>
    <row r="8" spans="1:29" x14ac:dyDescent="0.3">
      <c r="A8">
        <v>50</v>
      </c>
      <c r="B8">
        <v>5.0000000000000002E-5</v>
      </c>
      <c r="C8">
        <v>0.46</v>
      </c>
      <c r="D8">
        <f t="shared" si="1"/>
        <v>1.48</v>
      </c>
      <c r="E8">
        <f t="shared" si="2"/>
        <v>1.6000000000000001E-4</v>
      </c>
      <c r="F8">
        <f t="shared" si="3"/>
        <v>0.17026171539495738</v>
      </c>
      <c r="G8">
        <v>469</v>
      </c>
      <c r="H8">
        <v>100</v>
      </c>
      <c r="I8">
        <v>1E-4</v>
      </c>
      <c r="J8">
        <v>0.86</v>
      </c>
      <c r="K8">
        <f t="shared" si="0"/>
        <v>0.84</v>
      </c>
      <c r="L8">
        <f t="shared" si="4"/>
        <v>-7.5720713938118356E-2</v>
      </c>
      <c r="M8">
        <v>9.2E-5</v>
      </c>
      <c r="N8">
        <v>469</v>
      </c>
      <c r="O8">
        <v>-5.0999999999999996</v>
      </c>
      <c r="P8">
        <v>-5.1000000000000004E-3</v>
      </c>
      <c r="Q8">
        <f t="shared" si="5"/>
        <v>0.12</v>
      </c>
      <c r="R8">
        <v>-0.9</v>
      </c>
      <c r="S8">
        <v>8.9999999999999998E-4</v>
      </c>
      <c r="T8">
        <v>88</v>
      </c>
      <c r="U8">
        <v>5.98</v>
      </c>
      <c r="V8">
        <v>-6</v>
      </c>
      <c r="W8">
        <v>8</v>
      </c>
      <c r="X8">
        <v>8.0000000000000002E-3</v>
      </c>
      <c r="Y8">
        <v>3.96</v>
      </c>
      <c r="Z8">
        <v>7.0000000000000001E-3</v>
      </c>
      <c r="AA8">
        <f t="shared" si="6"/>
        <v>3.09</v>
      </c>
      <c r="AB8">
        <v>6.0000000000000001E-3</v>
      </c>
      <c r="AC8">
        <v>7</v>
      </c>
    </row>
    <row r="9" spans="1:29" x14ac:dyDescent="0.3">
      <c r="A9">
        <v>80</v>
      </c>
      <c r="B9">
        <v>8.0000000000000007E-5</v>
      </c>
      <c r="C9">
        <v>0.57999999999999996</v>
      </c>
      <c r="D9">
        <f t="shared" si="1"/>
        <v>1.6</v>
      </c>
      <c r="E9">
        <f t="shared" si="2"/>
        <v>1.9000000000000001E-4</v>
      </c>
      <c r="F9">
        <f t="shared" si="3"/>
        <v>0.20411998265592479</v>
      </c>
      <c r="G9">
        <v>469</v>
      </c>
      <c r="H9">
        <v>120</v>
      </c>
      <c r="I9">
        <v>1.2E-4</v>
      </c>
      <c r="J9">
        <v>0.72</v>
      </c>
      <c r="K9">
        <f t="shared" si="0"/>
        <v>0.7</v>
      </c>
      <c r="L9">
        <f t="shared" si="4"/>
        <v>-0.15490195998574319</v>
      </c>
      <c r="M9">
        <v>1.12E-4</v>
      </c>
      <c r="N9">
        <v>469</v>
      </c>
      <c r="O9">
        <v>-4.9000000000000004</v>
      </c>
      <c r="P9">
        <v>-4.8999999999999998E-3</v>
      </c>
      <c r="Q9">
        <f t="shared" si="5"/>
        <v>4.0000000000000036E-2</v>
      </c>
      <c r="R9">
        <v>-0.98</v>
      </c>
      <c r="S9">
        <v>1.1000000000000001E-3</v>
      </c>
      <c r="T9">
        <v>88</v>
      </c>
      <c r="U9">
        <v>5.98</v>
      </c>
      <c r="V9">
        <v>-6</v>
      </c>
      <c r="W9">
        <v>9</v>
      </c>
      <c r="X9">
        <v>8.9999999999999993E-3</v>
      </c>
      <c r="Y9">
        <v>3.84</v>
      </c>
      <c r="Z9">
        <v>8.0000000000000002E-3</v>
      </c>
      <c r="AA9">
        <f t="shared" si="6"/>
        <v>2.9699999999999998</v>
      </c>
      <c r="AB9">
        <v>6.0000000000000001E-3</v>
      </c>
      <c r="AC9">
        <v>7</v>
      </c>
    </row>
    <row r="10" spans="1:29" x14ac:dyDescent="0.3">
      <c r="A10">
        <v>130</v>
      </c>
      <c r="B10">
        <v>1.2999999999999999E-4</v>
      </c>
      <c r="C10">
        <v>0.74</v>
      </c>
      <c r="D10">
        <f t="shared" si="1"/>
        <v>1.76</v>
      </c>
      <c r="E10">
        <f t="shared" si="2"/>
        <v>2.3999999999999998E-4</v>
      </c>
      <c r="F10">
        <f t="shared" si="3"/>
        <v>0.24551266781414982</v>
      </c>
      <c r="G10">
        <v>469</v>
      </c>
      <c r="H10">
        <v>144</v>
      </c>
      <c r="I10">
        <v>1.44E-4</v>
      </c>
      <c r="J10">
        <v>0.57999999999999996</v>
      </c>
      <c r="K10">
        <f t="shared" si="0"/>
        <v>0.55999999999999994</v>
      </c>
      <c r="L10">
        <f t="shared" si="4"/>
        <v>-0.25181197299379965</v>
      </c>
      <c r="M10">
        <v>1.36E-4</v>
      </c>
      <c r="N10">
        <v>469</v>
      </c>
      <c r="O10">
        <v>-4.0999999999999996</v>
      </c>
      <c r="P10">
        <v>-4.1000000000000003E-3</v>
      </c>
      <c r="Q10">
        <f t="shared" si="5"/>
        <v>0</v>
      </c>
      <c r="R10">
        <v>-1.02</v>
      </c>
      <c r="S10">
        <v>1.9E-3</v>
      </c>
      <c r="T10">
        <v>88</v>
      </c>
      <c r="U10">
        <v>5.98</v>
      </c>
      <c r="V10">
        <v>-6</v>
      </c>
      <c r="W10">
        <v>10</v>
      </c>
      <c r="X10">
        <v>0.01</v>
      </c>
      <c r="Y10">
        <v>2.88</v>
      </c>
      <c r="Z10">
        <v>8.9999999999999993E-3</v>
      </c>
      <c r="AA10">
        <f t="shared" si="6"/>
        <v>2.0099999999999998</v>
      </c>
      <c r="AB10">
        <v>6.0000000000000001E-3</v>
      </c>
      <c r="AC10">
        <v>7</v>
      </c>
    </row>
    <row r="11" spans="1:29" x14ac:dyDescent="0.3">
      <c r="A11">
        <v>180</v>
      </c>
      <c r="B11">
        <v>1.8000000000000001E-4</v>
      </c>
      <c r="C11">
        <v>0.86</v>
      </c>
      <c r="D11">
        <f t="shared" si="1"/>
        <v>1.88</v>
      </c>
      <c r="E11">
        <f t="shared" si="2"/>
        <v>2.9E-4</v>
      </c>
      <c r="F11">
        <f t="shared" si="3"/>
        <v>0.27415784926367981</v>
      </c>
      <c r="G11">
        <v>469</v>
      </c>
      <c r="H11">
        <v>176</v>
      </c>
      <c r="I11">
        <v>1.76E-4</v>
      </c>
      <c r="J11">
        <v>0.44</v>
      </c>
      <c r="K11">
        <f t="shared" si="0"/>
        <v>0.42</v>
      </c>
      <c r="L11">
        <f t="shared" si="4"/>
        <v>-0.37675070960209955</v>
      </c>
      <c r="M11">
        <v>1.6799999999999999E-4</v>
      </c>
      <c r="N11">
        <v>469</v>
      </c>
      <c r="O11">
        <v>-2.9</v>
      </c>
      <c r="P11">
        <v>-2.8999999999999998E-3</v>
      </c>
      <c r="Q11">
        <f>R11 + 1.02</f>
        <v>0</v>
      </c>
      <c r="R11">
        <v>-1.02</v>
      </c>
      <c r="S11">
        <v>3.0999999999999999E-3</v>
      </c>
      <c r="T11">
        <v>88</v>
      </c>
      <c r="U11">
        <v>5.98</v>
      </c>
      <c r="V11">
        <v>-6</v>
      </c>
      <c r="W11">
        <v>11</v>
      </c>
      <c r="X11">
        <v>1.0999999999999999E-2</v>
      </c>
      <c r="Y11">
        <v>2</v>
      </c>
      <c r="Z11">
        <v>0.01</v>
      </c>
      <c r="AA11">
        <f t="shared" si="6"/>
        <v>1.1299999999999999</v>
      </c>
      <c r="AB11">
        <v>6.0000000000000001E-3</v>
      </c>
      <c r="AC11">
        <v>7</v>
      </c>
    </row>
    <row r="12" spans="1:29" x14ac:dyDescent="0.3">
      <c r="A12">
        <v>200</v>
      </c>
      <c r="B12">
        <v>2.0000000000000001E-4</v>
      </c>
      <c r="C12">
        <v>0.88</v>
      </c>
      <c r="D12">
        <f t="shared" si="1"/>
        <v>1.9</v>
      </c>
      <c r="E12">
        <f t="shared" si="2"/>
        <v>3.1E-4</v>
      </c>
      <c r="F12">
        <f t="shared" si="3"/>
        <v>0.27875360095282892</v>
      </c>
      <c r="G12">
        <v>469</v>
      </c>
      <c r="H12">
        <v>200</v>
      </c>
      <c r="I12">
        <v>2.0000000000000001E-4</v>
      </c>
      <c r="J12">
        <v>0.36</v>
      </c>
      <c r="K12">
        <f t="shared" si="0"/>
        <v>0.33999999999999997</v>
      </c>
      <c r="L12">
        <f t="shared" si="4"/>
        <v>-0.46852108295774492</v>
      </c>
      <c r="M12">
        <v>1.92E-4</v>
      </c>
      <c r="N12">
        <v>469</v>
      </c>
      <c r="O12">
        <v>-4.0000000000000002E-4</v>
      </c>
      <c r="P12">
        <v>-3.9999999999999998E-7</v>
      </c>
      <c r="Q12">
        <f t="shared" ref="Q12:Q22" si="7">R12 + 1.02</f>
        <v>0</v>
      </c>
      <c r="R12">
        <v>-1.02</v>
      </c>
      <c r="S12">
        <v>5.9995999999999999E-3</v>
      </c>
      <c r="T12">
        <v>88</v>
      </c>
      <c r="U12">
        <v>5.98</v>
      </c>
      <c r="V12">
        <v>-6</v>
      </c>
      <c r="W12">
        <v>12</v>
      </c>
      <c r="X12">
        <v>1.2E-2</v>
      </c>
      <c r="Y12">
        <v>1.88</v>
      </c>
      <c r="Z12">
        <v>1.0999999999999999E-2</v>
      </c>
      <c r="AA12">
        <f t="shared" si="6"/>
        <v>1.0099999999999998</v>
      </c>
      <c r="AB12">
        <v>6.0000000000000001E-3</v>
      </c>
      <c r="AC12">
        <v>7</v>
      </c>
    </row>
    <row r="13" spans="1:29" x14ac:dyDescent="0.3">
      <c r="A13">
        <v>230</v>
      </c>
      <c r="B13">
        <v>2.3000000000000001E-4</v>
      </c>
      <c r="C13">
        <v>0.92</v>
      </c>
      <c r="D13">
        <f t="shared" si="1"/>
        <v>1.94</v>
      </c>
      <c r="E13">
        <f t="shared" si="2"/>
        <v>3.4000000000000002E-4</v>
      </c>
      <c r="F13">
        <f t="shared" si="3"/>
        <v>0.28780172993022601</v>
      </c>
      <c r="G13">
        <v>469</v>
      </c>
      <c r="H13">
        <v>224</v>
      </c>
      <c r="I13">
        <v>2.24E-4</v>
      </c>
      <c r="J13">
        <v>0.3</v>
      </c>
      <c r="K13">
        <f t="shared" si="0"/>
        <v>0.27999999999999997</v>
      </c>
      <c r="L13">
        <f t="shared" si="4"/>
        <v>-0.55284196865778079</v>
      </c>
      <c r="M13">
        <v>2.1599999999999999E-4</v>
      </c>
      <c r="N13">
        <v>469</v>
      </c>
      <c r="O13">
        <v>-2.0000000000000001E-4</v>
      </c>
      <c r="P13">
        <v>-1.9999999999999999E-7</v>
      </c>
      <c r="Q13">
        <f t="shared" si="7"/>
        <v>0.45999999999999996</v>
      </c>
      <c r="R13">
        <v>-0.56000000000000005</v>
      </c>
      <c r="S13">
        <v>5.9997999999999996E-3</v>
      </c>
      <c r="T13">
        <v>88</v>
      </c>
      <c r="U13">
        <v>5.98</v>
      </c>
      <c r="V13">
        <v>-6</v>
      </c>
      <c r="W13">
        <v>13</v>
      </c>
      <c r="X13">
        <v>1.2999999999999999E-2</v>
      </c>
      <c r="Y13">
        <v>2.48</v>
      </c>
      <c r="Z13">
        <v>1.2E-2</v>
      </c>
      <c r="AA13">
        <f t="shared" si="6"/>
        <v>1.6099999999999999</v>
      </c>
      <c r="AB13">
        <v>6.0000000000000001E-3</v>
      </c>
      <c r="AC13">
        <v>7</v>
      </c>
    </row>
    <row r="14" spans="1:29" x14ac:dyDescent="0.3">
      <c r="A14">
        <v>290</v>
      </c>
      <c r="B14">
        <v>2.9E-4</v>
      </c>
      <c r="C14">
        <v>0.96</v>
      </c>
      <c r="D14">
        <f t="shared" si="1"/>
        <v>1.98</v>
      </c>
      <c r="E14">
        <f t="shared" si="2"/>
        <v>4.0000000000000002E-4</v>
      </c>
      <c r="F14">
        <f t="shared" si="3"/>
        <v>0.2966651902615311</v>
      </c>
      <c r="G14">
        <v>469</v>
      </c>
      <c r="H14">
        <v>244</v>
      </c>
      <c r="I14">
        <v>2.4399999999999999E-4</v>
      </c>
      <c r="J14">
        <v>0.26</v>
      </c>
      <c r="K14">
        <f t="shared" si="0"/>
        <v>0.24000000000000002</v>
      </c>
      <c r="L14">
        <f t="shared" si="4"/>
        <v>-0.61978875828839397</v>
      </c>
      <c r="M14">
        <v>2.3599999999999999E-4</v>
      </c>
      <c r="N14">
        <v>469</v>
      </c>
      <c r="O14">
        <v>-1E-4</v>
      </c>
      <c r="P14">
        <v>-9.9999999999999995E-8</v>
      </c>
      <c r="Q14">
        <f t="shared" si="7"/>
        <v>0.92</v>
      </c>
      <c r="R14">
        <v>-0.1</v>
      </c>
      <c r="S14">
        <v>5.9998999999999999E-3</v>
      </c>
      <c r="T14">
        <v>88</v>
      </c>
      <c r="U14">
        <v>5.98</v>
      </c>
      <c r="V14">
        <v>-6</v>
      </c>
      <c r="W14">
        <v>14</v>
      </c>
      <c r="X14">
        <v>1.4E-2</v>
      </c>
      <c r="Y14">
        <v>3.16</v>
      </c>
      <c r="Z14">
        <v>1.2999999999999999E-2</v>
      </c>
      <c r="AA14">
        <f t="shared" si="6"/>
        <v>2.29</v>
      </c>
      <c r="AB14">
        <v>6.0000000000000001E-3</v>
      </c>
      <c r="AC14">
        <v>7</v>
      </c>
    </row>
    <row r="15" spans="1:29" x14ac:dyDescent="0.3">
      <c r="A15">
        <v>370</v>
      </c>
      <c r="B15">
        <v>3.6999999999999999E-4</v>
      </c>
      <c r="C15">
        <v>1</v>
      </c>
      <c r="D15">
        <f t="shared" si="1"/>
        <v>2.02</v>
      </c>
      <c r="E15">
        <f t="shared" si="2"/>
        <v>4.8000000000000001E-4</v>
      </c>
      <c r="F15">
        <f t="shared" si="3"/>
        <v>0.30535136944662378</v>
      </c>
      <c r="G15">
        <v>469</v>
      </c>
      <c r="H15">
        <v>276</v>
      </c>
      <c r="I15">
        <v>2.7599999999999999E-4</v>
      </c>
      <c r="J15">
        <v>0.2</v>
      </c>
      <c r="K15">
        <f t="shared" si="0"/>
        <v>0.18000000000000002</v>
      </c>
      <c r="L15">
        <f t="shared" si="4"/>
        <v>-0.74472749489669388</v>
      </c>
      <c r="M15">
        <v>2.6800000000000001E-4</v>
      </c>
      <c r="N15">
        <v>469</v>
      </c>
      <c r="O15">
        <v>0</v>
      </c>
      <c r="P15">
        <v>0</v>
      </c>
      <c r="Q15">
        <f t="shared" si="7"/>
        <v>1.26</v>
      </c>
      <c r="R15">
        <v>0.24</v>
      </c>
      <c r="S15">
        <v>6.0000000000000001E-3</v>
      </c>
      <c r="T15">
        <v>88</v>
      </c>
      <c r="U15">
        <v>5.98</v>
      </c>
      <c r="V15">
        <v>-6</v>
      </c>
      <c r="W15">
        <v>15</v>
      </c>
      <c r="X15">
        <v>1.4999999999999999E-2</v>
      </c>
      <c r="Y15">
        <v>3.4</v>
      </c>
      <c r="Z15">
        <v>1.4E-2</v>
      </c>
      <c r="AA15">
        <f t="shared" si="6"/>
        <v>2.5299999999999998</v>
      </c>
      <c r="AB15">
        <v>6.0000000000000001E-3</v>
      </c>
      <c r="AC15">
        <v>7</v>
      </c>
    </row>
    <row r="16" spans="1:29" x14ac:dyDescent="0.3">
      <c r="A16">
        <v>450</v>
      </c>
      <c r="B16">
        <v>4.4999999999999999E-4</v>
      </c>
      <c r="C16">
        <v>1.02</v>
      </c>
      <c r="D16">
        <f t="shared" si="1"/>
        <v>2.04</v>
      </c>
      <c r="E16">
        <f t="shared" si="2"/>
        <v>5.5999999999999995E-4</v>
      </c>
      <c r="F16">
        <f t="shared" si="3"/>
        <v>0.30963016742589877</v>
      </c>
      <c r="G16">
        <v>469</v>
      </c>
      <c r="H16">
        <v>320</v>
      </c>
      <c r="I16">
        <v>3.2000000000000003E-4</v>
      </c>
      <c r="J16">
        <v>0.14000000000000001</v>
      </c>
      <c r="K16">
        <f t="shared" si="0"/>
        <v>0.12000000000000001</v>
      </c>
      <c r="L16">
        <f t="shared" si="4"/>
        <v>-0.92081875395237511</v>
      </c>
      <c r="M16">
        <v>3.1199999999999999E-4</v>
      </c>
      <c r="N16">
        <v>469</v>
      </c>
      <c r="O16">
        <v>1E-4</v>
      </c>
      <c r="P16">
        <v>9.9999999999999995E-8</v>
      </c>
      <c r="Q16">
        <f t="shared" si="7"/>
        <v>1.5</v>
      </c>
      <c r="R16">
        <v>0.48</v>
      </c>
      <c r="S16">
        <v>6.0001000000000004E-3</v>
      </c>
      <c r="T16">
        <v>88</v>
      </c>
      <c r="U16">
        <v>5.98</v>
      </c>
      <c r="V16">
        <v>-6</v>
      </c>
      <c r="W16">
        <v>16</v>
      </c>
      <c r="X16">
        <v>1.6E-2</v>
      </c>
      <c r="Y16">
        <v>3.08</v>
      </c>
      <c r="Z16">
        <v>1.4999999999999999E-2</v>
      </c>
      <c r="AA16">
        <f t="shared" si="6"/>
        <v>2.21</v>
      </c>
      <c r="AB16">
        <v>6.0000000000000001E-3</v>
      </c>
      <c r="AC16">
        <v>7</v>
      </c>
    </row>
    <row r="17" spans="1:29" x14ac:dyDescent="0.3">
      <c r="A17">
        <v>500</v>
      </c>
      <c r="B17">
        <v>5.0000000000000001E-4</v>
      </c>
      <c r="C17">
        <v>1.02</v>
      </c>
      <c r="D17">
        <f t="shared" si="1"/>
        <v>2.04</v>
      </c>
      <c r="E17">
        <f t="shared" si="2"/>
        <v>6.0999999999999997E-4</v>
      </c>
      <c r="F17">
        <f t="shared" si="3"/>
        <v>0.30963016742589877</v>
      </c>
      <c r="G17">
        <v>469</v>
      </c>
      <c r="H17">
        <v>360</v>
      </c>
      <c r="I17">
        <v>3.6000000000000002E-4</v>
      </c>
      <c r="J17">
        <v>0.1</v>
      </c>
      <c r="K17">
        <f t="shared" si="0"/>
        <v>0.08</v>
      </c>
      <c r="L17">
        <f t="shared" si="4"/>
        <v>-1.0969100130080565</v>
      </c>
      <c r="M17">
        <v>3.5199999999999999E-4</v>
      </c>
      <c r="N17">
        <v>469</v>
      </c>
      <c r="O17">
        <v>2.0000000000000001E-4</v>
      </c>
      <c r="P17">
        <v>1.9999999999999999E-7</v>
      </c>
      <c r="Q17">
        <f t="shared" si="7"/>
        <v>1.6800000000000002</v>
      </c>
      <c r="R17">
        <v>0.66</v>
      </c>
      <c r="S17">
        <v>6.0001999999999998E-3</v>
      </c>
      <c r="T17">
        <v>88</v>
      </c>
      <c r="U17">
        <v>5.98</v>
      </c>
      <c r="V17">
        <v>-6</v>
      </c>
      <c r="W17">
        <v>17</v>
      </c>
      <c r="X17">
        <v>1.7000000000000001E-2</v>
      </c>
      <c r="Y17">
        <v>2.56</v>
      </c>
      <c r="Z17">
        <v>1.6E-2</v>
      </c>
      <c r="AA17">
        <f t="shared" si="6"/>
        <v>1.69</v>
      </c>
      <c r="AB17">
        <v>6.0000000000000001E-3</v>
      </c>
      <c r="AC17">
        <v>7</v>
      </c>
    </row>
    <row r="18" spans="1:29" x14ac:dyDescent="0.3">
      <c r="A18">
        <v>570</v>
      </c>
      <c r="B18">
        <v>5.6999999999999998E-4</v>
      </c>
      <c r="C18">
        <v>1.04</v>
      </c>
      <c r="D18">
        <f t="shared" si="1"/>
        <v>2.06</v>
      </c>
      <c r="E18">
        <f t="shared" si="2"/>
        <v>6.7999999999999994E-4</v>
      </c>
      <c r="F18">
        <f t="shared" si="3"/>
        <v>0.31386722036915343</v>
      </c>
      <c r="G18">
        <v>469</v>
      </c>
      <c r="H18">
        <v>396</v>
      </c>
      <c r="I18">
        <v>3.9599999999999998E-4</v>
      </c>
      <c r="J18">
        <v>0.08</v>
      </c>
      <c r="K18">
        <f t="shared" si="0"/>
        <v>0.06</v>
      </c>
      <c r="L18">
        <f t="shared" si="4"/>
        <v>-1.2218487496163564</v>
      </c>
      <c r="M18">
        <v>3.88E-4</v>
      </c>
      <c r="N18">
        <v>469</v>
      </c>
      <c r="O18">
        <v>5.9999999999999995E-4</v>
      </c>
      <c r="P18">
        <v>5.9999999999999997E-7</v>
      </c>
      <c r="Q18">
        <f t="shared" si="7"/>
        <v>1.96</v>
      </c>
      <c r="R18">
        <v>0.94</v>
      </c>
      <c r="S18">
        <v>6.0006E-3</v>
      </c>
      <c r="T18">
        <v>88</v>
      </c>
      <c r="U18">
        <v>5.98</v>
      </c>
      <c r="V18">
        <v>-6</v>
      </c>
      <c r="W18">
        <v>18</v>
      </c>
      <c r="X18">
        <v>1.7999999999999999E-2</v>
      </c>
      <c r="Y18">
        <v>2.2799999999999998</v>
      </c>
      <c r="Z18">
        <v>1.7000000000000001E-2</v>
      </c>
      <c r="AA18">
        <f t="shared" si="6"/>
        <v>1.4099999999999997</v>
      </c>
      <c r="AB18">
        <v>6.0000000000000001E-3</v>
      </c>
      <c r="AC18">
        <v>7</v>
      </c>
    </row>
    <row r="19" spans="1:29" x14ac:dyDescent="0.3">
      <c r="A19">
        <v>840</v>
      </c>
      <c r="B19">
        <v>8.4000000000000003E-4</v>
      </c>
      <c r="C19">
        <v>1.04</v>
      </c>
      <c r="D19">
        <f t="shared" si="1"/>
        <v>2.06</v>
      </c>
      <c r="E19">
        <f t="shared" si="2"/>
        <v>9.5E-4</v>
      </c>
      <c r="F19">
        <f t="shared" si="3"/>
        <v>0.31386722036915343</v>
      </c>
      <c r="G19">
        <v>469</v>
      </c>
      <c r="H19">
        <v>432</v>
      </c>
      <c r="I19">
        <v>4.3199999999999998E-4</v>
      </c>
      <c r="J19">
        <v>0.06</v>
      </c>
      <c r="K19">
        <f t="shared" si="0"/>
        <v>3.9999999999999994E-2</v>
      </c>
      <c r="L19">
        <f t="shared" si="4"/>
        <v>-1.3979400086720377</v>
      </c>
      <c r="M19">
        <v>4.2400000000000001E-4</v>
      </c>
      <c r="N19">
        <v>469</v>
      </c>
      <c r="O19">
        <v>1.2</v>
      </c>
      <c r="P19">
        <v>1.1999999999999999E-3</v>
      </c>
      <c r="Q19">
        <f t="shared" si="7"/>
        <v>2.04</v>
      </c>
      <c r="R19">
        <v>1.02</v>
      </c>
      <c r="S19">
        <v>7.1999999999999998E-3</v>
      </c>
      <c r="T19">
        <v>88</v>
      </c>
      <c r="U19">
        <v>5.98</v>
      </c>
      <c r="V19">
        <v>-6</v>
      </c>
      <c r="W19">
        <v>19</v>
      </c>
      <c r="X19">
        <v>1.9E-2</v>
      </c>
      <c r="Y19">
        <v>2.44</v>
      </c>
      <c r="Z19">
        <v>1.7999999999999999E-2</v>
      </c>
      <c r="AA19">
        <f t="shared" si="6"/>
        <v>1.5699999999999998</v>
      </c>
      <c r="AB19">
        <v>6.0000000000000001E-3</v>
      </c>
      <c r="AC19">
        <v>7</v>
      </c>
    </row>
    <row r="20" spans="1:29" x14ac:dyDescent="0.3">
      <c r="A20">
        <v>960</v>
      </c>
      <c r="B20">
        <v>9.6000000000000002E-4</v>
      </c>
      <c r="C20">
        <v>1.04</v>
      </c>
      <c r="D20">
        <f t="shared" si="1"/>
        <v>2.06</v>
      </c>
      <c r="E20">
        <f t="shared" si="2"/>
        <v>1.07E-3</v>
      </c>
      <c r="F20">
        <f t="shared" si="3"/>
        <v>0.31386722036915343</v>
      </c>
      <c r="G20">
        <v>469</v>
      </c>
      <c r="H20">
        <v>476</v>
      </c>
      <c r="I20">
        <v>4.7600000000000002E-4</v>
      </c>
      <c r="J20">
        <v>0.06</v>
      </c>
      <c r="K20">
        <f t="shared" si="0"/>
        <v>3.9999999999999994E-2</v>
      </c>
      <c r="L20">
        <f t="shared" si="4"/>
        <v>-1.3979400086720377</v>
      </c>
      <c r="M20">
        <v>4.6799999999999999E-4</v>
      </c>
      <c r="N20">
        <v>469</v>
      </c>
      <c r="O20">
        <v>2.1</v>
      </c>
      <c r="P20">
        <v>2.0999999999999999E-3</v>
      </c>
      <c r="Q20">
        <f t="shared" si="7"/>
        <v>2.06</v>
      </c>
      <c r="R20">
        <v>1.04</v>
      </c>
      <c r="S20">
        <v>8.0999999999999996E-3</v>
      </c>
      <c r="T20">
        <v>88</v>
      </c>
      <c r="U20">
        <v>5.98</v>
      </c>
      <c r="V20">
        <v>-6</v>
      </c>
      <c r="W20">
        <v>20</v>
      </c>
      <c r="X20">
        <v>0.02</v>
      </c>
      <c r="Y20">
        <v>2.8</v>
      </c>
      <c r="Z20">
        <v>1.9E-2</v>
      </c>
      <c r="AA20">
        <f t="shared" si="6"/>
        <v>1.9299999999999997</v>
      </c>
      <c r="AB20">
        <v>6.0000000000000001E-3</v>
      </c>
      <c r="AC20">
        <v>7</v>
      </c>
    </row>
    <row r="21" spans="1:29" x14ac:dyDescent="0.3">
      <c r="H21">
        <v>516</v>
      </c>
      <c r="I21">
        <v>5.1599999999999997E-4</v>
      </c>
      <c r="J21">
        <v>0.04</v>
      </c>
      <c r="K21">
        <f t="shared" si="0"/>
        <v>0.02</v>
      </c>
      <c r="L21">
        <f t="shared" si="4"/>
        <v>-1.6989700043360187</v>
      </c>
      <c r="M21">
        <v>5.0799999999999999E-4</v>
      </c>
      <c r="N21">
        <v>469</v>
      </c>
      <c r="O21">
        <v>3.7</v>
      </c>
      <c r="P21">
        <v>3.7000000000000002E-3</v>
      </c>
      <c r="Q21">
        <f t="shared" si="7"/>
        <v>2.06</v>
      </c>
      <c r="R21">
        <v>1.04</v>
      </c>
      <c r="S21">
        <v>9.7000000000000003E-3</v>
      </c>
      <c r="T21">
        <v>88</v>
      </c>
      <c r="U21">
        <v>5.98</v>
      </c>
      <c r="V21">
        <v>-6</v>
      </c>
      <c r="W21">
        <v>21</v>
      </c>
      <c r="X21">
        <v>2.1000000000000001E-2</v>
      </c>
      <c r="Y21">
        <v>3.04</v>
      </c>
      <c r="Z21">
        <v>0.02</v>
      </c>
      <c r="AA21">
        <f t="shared" si="6"/>
        <v>2.17</v>
      </c>
      <c r="AB21">
        <v>6.0000000000000001E-3</v>
      </c>
      <c r="AC21">
        <v>7</v>
      </c>
    </row>
    <row r="22" spans="1:29" x14ac:dyDescent="0.3">
      <c r="H22">
        <v>592</v>
      </c>
      <c r="I22">
        <v>5.9199999999999997E-4</v>
      </c>
      <c r="J22">
        <v>0.04</v>
      </c>
      <c r="K22">
        <f t="shared" si="0"/>
        <v>0.02</v>
      </c>
      <c r="L22">
        <f t="shared" si="4"/>
        <v>-1.6989700043360187</v>
      </c>
      <c r="M22">
        <v>5.8399999999999999E-4</v>
      </c>
      <c r="N22">
        <v>469</v>
      </c>
      <c r="O22">
        <v>5.2</v>
      </c>
      <c r="P22">
        <v>5.1999999999999998E-3</v>
      </c>
      <c r="Q22">
        <f t="shared" si="7"/>
        <v>2.06</v>
      </c>
      <c r="R22">
        <v>1.04</v>
      </c>
      <c r="S22">
        <v>1.12E-2</v>
      </c>
      <c r="T22">
        <v>88</v>
      </c>
      <c r="U22">
        <v>5.98</v>
      </c>
      <c r="V22">
        <v>-6</v>
      </c>
      <c r="W22">
        <v>22</v>
      </c>
      <c r="X22">
        <v>2.1999999999999999E-2</v>
      </c>
      <c r="Y22">
        <v>3</v>
      </c>
      <c r="Z22">
        <v>2.1000000000000001E-2</v>
      </c>
      <c r="AA22">
        <f t="shared" si="6"/>
        <v>2.13</v>
      </c>
      <c r="AB22">
        <v>6.0000000000000001E-3</v>
      </c>
      <c r="AC22">
        <v>7</v>
      </c>
    </row>
    <row r="23" spans="1:29" x14ac:dyDescent="0.3">
      <c r="H23">
        <v>724</v>
      </c>
      <c r="I23">
        <v>7.2400000000000003E-4</v>
      </c>
      <c r="J23">
        <v>0.02</v>
      </c>
      <c r="K23">
        <f t="shared" si="0"/>
        <v>0</v>
      </c>
      <c r="L23" t="e">
        <f t="shared" si="4"/>
        <v>#NUM!</v>
      </c>
      <c r="M23">
        <v>7.1599999999999995E-4</v>
      </c>
      <c r="N23">
        <v>469</v>
      </c>
      <c r="U23">
        <v>5.98</v>
      </c>
      <c r="V23">
        <v>-6</v>
      </c>
      <c r="W23">
        <v>23</v>
      </c>
      <c r="X23">
        <v>2.3E-2</v>
      </c>
      <c r="Y23">
        <v>2.8</v>
      </c>
      <c r="Z23">
        <v>2.1999999999999999E-2</v>
      </c>
      <c r="AA23">
        <f t="shared" si="6"/>
        <v>1.9299999999999997</v>
      </c>
      <c r="AB23">
        <v>6.0000000000000001E-3</v>
      </c>
      <c r="AC23">
        <v>7</v>
      </c>
    </row>
    <row r="24" spans="1:29" x14ac:dyDescent="0.3">
      <c r="H24">
        <v>816</v>
      </c>
      <c r="I24">
        <v>8.1599999999999999E-4</v>
      </c>
      <c r="J24">
        <v>0.02</v>
      </c>
      <c r="K24">
        <f>J24-0.02</f>
        <v>0</v>
      </c>
      <c r="L24" t="e">
        <f t="shared" si="4"/>
        <v>#NUM!</v>
      </c>
      <c r="M24">
        <v>8.0800000000000002E-4</v>
      </c>
      <c r="N24">
        <v>469</v>
      </c>
      <c r="U24">
        <v>5.98</v>
      </c>
      <c r="V24">
        <v>-6</v>
      </c>
      <c r="W24">
        <v>24</v>
      </c>
      <c r="X24">
        <v>2.4E-2</v>
      </c>
      <c r="Y24">
        <v>2.56</v>
      </c>
      <c r="Z24">
        <v>2.3E-2</v>
      </c>
      <c r="AA24">
        <f t="shared" si="6"/>
        <v>1.69</v>
      </c>
      <c r="AB24">
        <v>6.0000000000000001E-3</v>
      </c>
      <c r="AC24">
        <v>7</v>
      </c>
    </row>
    <row r="25" spans="1:29" x14ac:dyDescent="0.3">
      <c r="U25">
        <v>5.98</v>
      </c>
      <c r="V25">
        <v>-6</v>
      </c>
      <c r="W25">
        <v>25</v>
      </c>
      <c r="X25">
        <v>2.5000000000000001E-2</v>
      </c>
      <c r="Y25">
        <v>2.52</v>
      </c>
      <c r="Z25">
        <v>2.4E-2</v>
      </c>
      <c r="AA25">
        <f t="shared" si="6"/>
        <v>1.65</v>
      </c>
      <c r="AB25">
        <v>6.0000000000000001E-3</v>
      </c>
      <c r="AC25">
        <v>7</v>
      </c>
    </row>
    <row r="26" spans="1:29" x14ac:dyDescent="0.3">
      <c r="U26">
        <v>5.98</v>
      </c>
      <c r="V26">
        <v>-6</v>
      </c>
      <c r="W26">
        <v>26</v>
      </c>
      <c r="X26">
        <v>2.5999999999999999E-2</v>
      </c>
      <c r="Y26">
        <v>2.68</v>
      </c>
      <c r="Z26">
        <v>2.5000000000000001E-2</v>
      </c>
      <c r="AA26">
        <f t="shared" si="6"/>
        <v>1.81</v>
      </c>
      <c r="AB26">
        <v>6.0000000000000001E-3</v>
      </c>
      <c r="AC26">
        <v>7</v>
      </c>
    </row>
    <row r="27" spans="1:29" x14ac:dyDescent="0.3">
      <c r="U27">
        <v>5.98</v>
      </c>
      <c r="V27">
        <v>-6</v>
      </c>
      <c r="W27">
        <v>27</v>
      </c>
      <c r="X27">
        <v>2.7E-2</v>
      </c>
      <c r="Y27">
        <v>2.84</v>
      </c>
      <c r="Z27">
        <v>2.5999999999999999E-2</v>
      </c>
      <c r="AA27">
        <f t="shared" si="6"/>
        <v>1.9699999999999998</v>
      </c>
      <c r="AB27">
        <v>6.0000000000000001E-3</v>
      </c>
      <c r="AC27">
        <v>7</v>
      </c>
    </row>
    <row r="28" spans="1:29" x14ac:dyDescent="0.3">
      <c r="U28">
        <v>5.98</v>
      </c>
      <c r="V28">
        <v>-6</v>
      </c>
      <c r="W28">
        <v>28</v>
      </c>
      <c r="X28">
        <v>2.8000000000000001E-2</v>
      </c>
      <c r="Y28">
        <v>2.92</v>
      </c>
      <c r="Z28">
        <v>2.7E-2</v>
      </c>
      <c r="AA28">
        <f t="shared" si="6"/>
        <v>2.0499999999999998</v>
      </c>
      <c r="AB28">
        <v>6.0000000000000001E-3</v>
      </c>
      <c r="AC28">
        <v>7</v>
      </c>
    </row>
    <row r="29" spans="1:29" x14ac:dyDescent="0.3">
      <c r="U29">
        <v>5.98</v>
      </c>
      <c r="V29">
        <v>-6</v>
      </c>
      <c r="W29">
        <v>29</v>
      </c>
      <c r="X29">
        <v>2.9000000000000001E-2</v>
      </c>
      <c r="Y29">
        <v>2.84</v>
      </c>
      <c r="Z29">
        <v>2.8000000000000001E-2</v>
      </c>
      <c r="AA29">
        <f t="shared" si="6"/>
        <v>1.9699999999999998</v>
      </c>
      <c r="AB29">
        <v>6.0000000000000001E-3</v>
      </c>
      <c r="AC29">
        <v>7</v>
      </c>
    </row>
    <row r="30" spans="1:29" x14ac:dyDescent="0.3">
      <c r="U30">
        <v>5.98</v>
      </c>
      <c r="V30">
        <v>-6</v>
      </c>
      <c r="W30">
        <v>30</v>
      </c>
      <c r="X30">
        <v>0.03</v>
      </c>
      <c r="Y30">
        <v>2.68</v>
      </c>
      <c r="Z30">
        <v>2.9000000000000001E-2</v>
      </c>
      <c r="AA30">
        <f t="shared" si="6"/>
        <v>1.81</v>
      </c>
      <c r="AB30">
        <v>6.0000000000000001E-3</v>
      </c>
      <c r="AC30">
        <v>7</v>
      </c>
    </row>
    <row r="31" spans="1:29" x14ac:dyDescent="0.3">
      <c r="U31">
        <v>5.98</v>
      </c>
      <c r="V31">
        <v>-6</v>
      </c>
      <c r="W31">
        <v>31</v>
      </c>
      <c r="X31">
        <v>3.1E-2</v>
      </c>
      <c r="Y31">
        <v>2.64</v>
      </c>
      <c r="Z31">
        <v>0.03</v>
      </c>
      <c r="AA31">
        <f t="shared" si="6"/>
        <v>1.77</v>
      </c>
      <c r="AB31">
        <v>6.0000000000000001E-3</v>
      </c>
      <c r="AC31">
        <v>7</v>
      </c>
    </row>
    <row r="32" spans="1:29" x14ac:dyDescent="0.3">
      <c r="U32">
        <v>5.98</v>
      </c>
      <c r="V32">
        <v>-6</v>
      </c>
      <c r="W32">
        <v>32</v>
      </c>
      <c r="X32">
        <v>3.2000000000000001E-2</v>
      </c>
      <c r="Y32">
        <v>2.68</v>
      </c>
      <c r="Z32">
        <v>3.1E-2</v>
      </c>
      <c r="AA32">
        <f t="shared" si="6"/>
        <v>1.81</v>
      </c>
      <c r="AB32">
        <v>6.0000000000000001E-3</v>
      </c>
      <c r="AC32">
        <v>7</v>
      </c>
    </row>
    <row r="33" spans="21:29" x14ac:dyDescent="0.3">
      <c r="U33">
        <v>5.98</v>
      </c>
      <c r="V33">
        <v>-6</v>
      </c>
      <c r="W33">
        <v>33</v>
      </c>
      <c r="X33">
        <v>3.3000000000000002E-2</v>
      </c>
      <c r="Y33">
        <v>2.76</v>
      </c>
      <c r="Z33">
        <v>3.2000000000000001E-2</v>
      </c>
      <c r="AA33">
        <f t="shared" si="6"/>
        <v>1.8899999999999997</v>
      </c>
      <c r="AB33">
        <v>6.0000000000000001E-3</v>
      </c>
      <c r="AC33">
        <v>7</v>
      </c>
    </row>
    <row r="34" spans="21:29" x14ac:dyDescent="0.3">
      <c r="U34">
        <v>5.98</v>
      </c>
      <c r="V34">
        <v>-6</v>
      </c>
      <c r="W34">
        <v>34</v>
      </c>
      <c r="X34">
        <v>3.4000000000000002E-2</v>
      </c>
      <c r="Y34">
        <v>2.84</v>
      </c>
      <c r="Z34">
        <v>3.3000000000000002E-2</v>
      </c>
      <c r="AA34">
        <f t="shared" si="6"/>
        <v>1.9699999999999998</v>
      </c>
      <c r="AB34">
        <v>6.0000000000000001E-3</v>
      </c>
      <c r="AC34">
        <v>7</v>
      </c>
    </row>
    <row r="35" spans="21:29" x14ac:dyDescent="0.3">
      <c r="U35">
        <v>5.98</v>
      </c>
      <c r="V35">
        <v>-6</v>
      </c>
      <c r="W35">
        <v>35</v>
      </c>
      <c r="X35">
        <v>3.5000000000000003E-2</v>
      </c>
      <c r="Y35">
        <v>2.8</v>
      </c>
      <c r="Z35">
        <v>3.4000000000000002E-2</v>
      </c>
      <c r="AA35">
        <f t="shared" si="6"/>
        <v>1.9299999999999997</v>
      </c>
      <c r="AB35">
        <v>6.0000000000000001E-3</v>
      </c>
      <c r="AC35">
        <v>7</v>
      </c>
    </row>
    <row r="36" spans="21:29" x14ac:dyDescent="0.3">
      <c r="U36">
        <v>5.98</v>
      </c>
      <c r="V36">
        <v>-6</v>
      </c>
      <c r="W36">
        <v>36</v>
      </c>
      <c r="X36">
        <v>3.5999999999999997E-2</v>
      </c>
      <c r="Y36">
        <v>2.76</v>
      </c>
      <c r="Z36">
        <v>3.5000000000000003E-2</v>
      </c>
      <c r="AA36">
        <f t="shared" si="6"/>
        <v>1.8899999999999997</v>
      </c>
      <c r="AB36">
        <v>6.0000000000000001E-3</v>
      </c>
      <c r="AC36">
        <v>7</v>
      </c>
    </row>
    <row r="37" spans="21:29" x14ac:dyDescent="0.3">
      <c r="U37">
        <v>5.98</v>
      </c>
      <c r="V37">
        <v>-6</v>
      </c>
      <c r="W37">
        <v>37</v>
      </c>
      <c r="X37">
        <v>3.6999999999999998E-2</v>
      </c>
      <c r="Y37">
        <v>2.68</v>
      </c>
      <c r="Z37">
        <v>3.5999999999999997E-2</v>
      </c>
      <c r="AA37">
        <f t="shared" si="6"/>
        <v>1.81</v>
      </c>
      <c r="AB37">
        <v>6.0000000000000001E-3</v>
      </c>
      <c r="AC37">
        <v>7</v>
      </c>
    </row>
    <row r="38" spans="21:29" x14ac:dyDescent="0.3">
      <c r="U38">
        <v>5.98</v>
      </c>
      <c r="V38">
        <v>-6</v>
      </c>
      <c r="W38">
        <v>38</v>
      </c>
      <c r="X38">
        <v>3.7999999999999999E-2</v>
      </c>
      <c r="Y38">
        <v>2.68</v>
      </c>
      <c r="Z38">
        <v>3.6999999999999998E-2</v>
      </c>
      <c r="AA38">
        <f t="shared" si="6"/>
        <v>1.81</v>
      </c>
      <c r="AB38">
        <v>6.0000000000000001E-3</v>
      </c>
      <c r="AC38">
        <v>7</v>
      </c>
    </row>
    <row r="39" spans="21:29" x14ac:dyDescent="0.3">
      <c r="U39">
        <v>5.98</v>
      </c>
      <c r="V39">
        <v>-6</v>
      </c>
      <c r="W39">
        <v>39</v>
      </c>
      <c r="X39">
        <v>3.9E-2</v>
      </c>
      <c r="Y39">
        <v>2.72</v>
      </c>
      <c r="Z39">
        <v>3.7999999999999999E-2</v>
      </c>
      <c r="AA39">
        <f t="shared" si="6"/>
        <v>1.85</v>
      </c>
      <c r="AB39">
        <v>6.0000000000000001E-3</v>
      </c>
      <c r="AC39">
        <v>7</v>
      </c>
    </row>
    <row r="40" spans="21:29" x14ac:dyDescent="0.3">
      <c r="U40">
        <v>5.98</v>
      </c>
      <c r="V40">
        <v>-6</v>
      </c>
      <c r="W40">
        <v>40</v>
      </c>
      <c r="X40">
        <v>0.04</v>
      </c>
      <c r="Y40">
        <v>2.8</v>
      </c>
      <c r="Z40">
        <v>3.9E-2</v>
      </c>
      <c r="AA40">
        <f t="shared" si="6"/>
        <v>1.9299999999999997</v>
      </c>
      <c r="AB40">
        <v>7.0000000000000001E-3</v>
      </c>
      <c r="AC40">
        <v>7</v>
      </c>
    </row>
    <row r="41" spans="21:29" x14ac:dyDescent="0.3">
      <c r="U41">
        <v>5.98</v>
      </c>
      <c r="V41">
        <v>-6</v>
      </c>
      <c r="W41">
        <v>41</v>
      </c>
      <c r="X41">
        <v>4.1000000000000002E-2</v>
      </c>
      <c r="Y41">
        <v>2.8</v>
      </c>
      <c r="Z41">
        <v>0.04</v>
      </c>
      <c r="AA41">
        <f t="shared" si="6"/>
        <v>1.9299999999999997</v>
      </c>
      <c r="AB41">
        <v>7.0000000000000001E-3</v>
      </c>
      <c r="AC41">
        <v>7</v>
      </c>
    </row>
    <row r="42" spans="21:29" x14ac:dyDescent="0.3">
      <c r="U42">
        <v>5.98</v>
      </c>
      <c r="V42">
        <v>-6</v>
      </c>
      <c r="W42">
        <v>42</v>
      </c>
      <c r="X42">
        <v>4.2000000000000003E-2</v>
      </c>
      <c r="Y42">
        <v>2.76</v>
      </c>
      <c r="Z42">
        <v>4.1000000000000002E-2</v>
      </c>
      <c r="AA42">
        <f t="shared" si="6"/>
        <v>1.8899999999999997</v>
      </c>
      <c r="AB42">
        <v>7.0000000000000001E-3</v>
      </c>
      <c r="AC42">
        <v>7</v>
      </c>
    </row>
    <row r="43" spans="21:29" x14ac:dyDescent="0.3">
      <c r="U43">
        <v>5.98</v>
      </c>
      <c r="V43">
        <v>-6</v>
      </c>
      <c r="W43">
        <v>43</v>
      </c>
      <c r="X43">
        <v>4.2999999999999997E-2</v>
      </c>
      <c r="Y43">
        <v>2.72</v>
      </c>
      <c r="Z43">
        <v>4.2000000000000003E-2</v>
      </c>
      <c r="AA43">
        <f t="shared" si="6"/>
        <v>1.85</v>
      </c>
      <c r="AB43">
        <v>7.0000000000000001E-3</v>
      </c>
      <c r="AC43">
        <v>7</v>
      </c>
    </row>
    <row r="44" spans="21:29" x14ac:dyDescent="0.3">
      <c r="U44">
        <v>5.98</v>
      </c>
      <c r="V44">
        <v>-6</v>
      </c>
      <c r="W44">
        <v>44</v>
      </c>
      <c r="X44">
        <v>4.3999999999999997E-2</v>
      </c>
      <c r="Y44">
        <v>2.72</v>
      </c>
      <c r="Z44">
        <v>4.2999999999999997E-2</v>
      </c>
      <c r="AA44">
        <f t="shared" si="6"/>
        <v>1.85</v>
      </c>
      <c r="AB44">
        <v>7.0000000000000001E-3</v>
      </c>
      <c r="AC44">
        <v>7</v>
      </c>
    </row>
    <row r="45" spans="21:29" x14ac:dyDescent="0.3">
      <c r="U45">
        <v>5.98</v>
      </c>
      <c r="V45">
        <v>-6</v>
      </c>
      <c r="W45">
        <v>45</v>
      </c>
      <c r="X45">
        <v>4.4999999999999998E-2</v>
      </c>
      <c r="Y45">
        <v>2.72</v>
      </c>
      <c r="Z45">
        <v>4.3999999999999997E-2</v>
      </c>
      <c r="AA45">
        <f t="shared" si="6"/>
        <v>1.85</v>
      </c>
      <c r="AB45">
        <v>7.0000000000000001E-3</v>
      </c>
      <c r="AC45">
        <v>7</v>
      </c>
    </row>
    <row r="46" spans="21:29" x14ac:dyDescent="0.3">
      <c r="U46">
        <v>5.98</v>
      </c>
      <c r="V46">
        <v>-6</v>
      </c>
      <c r="W46">
        <v>47</v>
      </c>
      <c r="X46">
        <v>4.7E-2</v>
      </c>
      <c r="Y46">
        <v>2.76</v>
      </c>
      <c r="Z46">
        <v>4.5999999999999999E-2</v>
      </c>
      <c r="AA46">
        <f t="shared" si="6"/>
        <v>1.8899999999999997</v>
      </c>
      <c r="AB46">
        <v>6.0000000000000001E-3</v>
      </c>
      <c r="AC46">
        <v>7</v>
      </c>
    </row>
    <row r="47" spans="21:29" x14ac:dyDescent="0.3">
      <c r="U47">
        <v>5.98</v>
      </c>
      <c r="V47">
        <v>-6</v>
      </c>
      <c r="W47">
        <v>48</v>
      </c>
      <c r="X47">
        <v>4.8000000000000001E-2</v>
      </c>
      <c r="Y47">
        <v>2.76</v>
      </c>
      <c r="Z47">
        <v>4.7E-2</v>
      </c>
      <c r="AA47">
        <f t="shared" si="6"/>
        <v>1.8899999999999997</v>
      </c>
      <c r="AB47">
        <v>6.0000000000000001E-3</v>
      </c>
      <c r="AC47">
        <v>7</v>
      </c>
    </row>
    <row r="48" spans="21:29" x14ac:dyDescent="0.3">
      <c r="U48">
        <v>5.98</v>
      </c>
      <c r="V48">
        <v>-6</v>
      </c>
      <c r="W48">
        <v>49</v>
      </c>
      <c r="X48">
        <v>4.9000000000000002E-2</v>
      </c>
      <c r="Y48">
        <v>2.76</v>
      </c>
      <c r="Z48">
        <v>4.8000000000000001E-2</v>
      </c>
      <c r="AA48">
        <f t="shared" si="6"/>
        <v>1.8899999999999997</v>
      </c>
      <c r="AB48">
        <v>6.0000000000000001E-3</v>
      </c>
      <c r="AC48">
        <v>7</v>
      </c>
    </row>
    <row r="49" spans="21:29" x14ac:dyDescent="0.3">
      <c r="U49">
        <v>5.98</v>
      </c>
      <c r="V49">
        <v>-6</v>
      </c>
      <c r="W49">
        <v>50</v>
      </c>
      <c r="X49">
        <v>0.05</v>
      </c>
      <c r="Y49">
        <v>2.72</v>
      </c>
      <c r="Z49">
        <v>4.9000000000000002E-2</v>
      </c>
      <c r="AA49">
        <f t="shared" si="6"/>
        <v>1.85</v>
      </c>
      <c r="AB49">
        <v>6.0000000000000001E-3</v>
      </c>
      <c r="AC49">
        <v>7</v>
      </c>
    </row>
    <row r="50" spans="21:29" x14ac:dyDescent="0.3">
      <c r="U50">
        <v>5.98</v>
      </c>
      <c r="V50">
        <v>-6</v>
      </c>
      <c r="W50">
        <v>51</v>
      </c>
      <c r="X50">
        <v>5.0999999999999997E-2</v>
      </c>
      <c r="Y50">
        <v>2.72</v>
      </c>
      <c r="Z50">
        <v>0.05</v>
      </c>
      <c r="AA50">
        <f t="shared" si="6"/>
        <v>1.85</v>
      </c>
      <c r="AB50">
        <v>6.0000000000000001E-3</v>
      </c>
      <c r="AC50">
        <v>7</v>
      </c>
    </row>
    <row r="51" spans="21:29" x14ac:dyDescent="0.3">
      <c r="U51">
        <v>5.98</v>
      </c>
      <c r="V51">
        <v>-6</v>
      </c>
      <c r="W51">
        <v>52</v>
      </c>
      <c r="X51">
        <v>5.1999999999999998E-2</v>
      </c>
      <c r="Y51">
        <v>2.76</v>
      </c>
      <c r="Z51">
        <v>5.0999999999999997E-2</v>
      </c>
      <c r="AA51">
        <f t="shared" si="6"/>
        <v>1.8899999999999997</v>
      </c>
      <c r="AB51">
        <v>6.0000000000000001E-3</v>
      </c>
      <c r="AC51">
        <v>7</v>
      </c>
    </row>
    <row r="52" spans="21:29" x14ac:dyDescent="0.3">
      <c r="U52">
        <v>5.98</v>
      </c>
      <c r="V52">
        <v>-6</v>
      </c>
      <c r="W52">
        <v>53</v>
      </c>
      <c r="X52">
        <v>5.2999999999999999E-2</v>
      </c>
      <c r="Y52">
        <v>2.76</v>
      </c>
      <c r="Z52">
        <v>5.1999999999999998E-2</v>
      </c>
      <c r="AA52">
        <f t="shared" si="6"/>
        <v>1.8899999999999997</v>
      </c>
      <c r="AB52">
        <v>6.0000000000000001E-3</v>
      </c>
      <c r="AC52">
        <v>7</v>
      </c>
    </row>
    <row r="53" spans="21:29" x14ac:dyDescent="0.3">
      <c r="U53">
        <v>5.98</v>
      </c>
      <c r="V53">
        <v>-6</v>
      </c>
      <c r="W53">
        <v>54</v>
      </c>
      <c r="X53">
        <v>5.3999999999999999E-2</v>
      </c>
      <c r="Y53">
        <v>2.76</v>
      </c>
      <c r="Z53">
        <v>5.2999999999999999E-2</v>
      </c>
      <c r="AA53">
        <f t="shared" si="6"/>
        <v>1.8899999999999997</v>
      </c>
      <c r="AB53">
        <v>6.0000000000000001E-3</v>
      </c>
      <c r="AC53">
        <v>7</v>
      </c>
    </row>
    <row r="54" spans="21:29" x14ac:dyDescent="0.3">
      <c r="U54">
        <v>5.98</v>
      </c>
      <c r="V54">
        <v>-6</v>
      </c>
      <c r="W54">
        <v>55</v>
      </c>
      <c r="X54">
        <v>5.5E-2</v>
      </c>
      <c r="Y54">
        <v>2.76</v>
      </c>
      <c r="Z54">
        <v>5.3999999999999999E-2</v>
      </c>
      <c r="AA54">
        <f t="shared" si="6"/>
        <v>1.8899999999999997</v>
      </c>
      <c r="AB54">
        <v>6.0000000000000001E-3</v>
      </c>
      <c r="AC54">
        <v>7</v>
      </c>
    </row>
    <row r="55" spans="21:29" x14ac:dyDescent="0.3">
      <c r="U55">
        <v>5.98</v>
      </c>
      <c r="V55">
        <v>-6</v>
      </c>
      <c r="W55">
        <v>56</v>
      </c>
      <c r="X55">
        <v>5.6000000000000001E-2</v>
      </c>
      <c r="Y55">
        <v>2.76</v>
      </c>
      <c r="Z55">
        <v>5.5E-2</v>
      </c>
      <c r="AA55">
        <f t="shared" si="6"/>
        <v>1.8899999999999997</v>
      </c>
      <c r="AB55">
        <v>6.0000000000000001E-3</v>
      </c>
      <c r="AC55">
        <v>7</v>
      </c>
    </row>
    <row r="56" spans="21:29" x14ac:dyDescent="0.3">
      <c r="U56">
        <v>5.98</v>
      </c>
      <c r="V56">
        <v>-6</v>
      </c>
      <c r="W56">
        <v>57</v>
      </c>
      <c r="X56">
        <v>5.7000000000000002E-2</v>
      </c>
      <c r="Y56">
        <v>2.76</v>
      </c>
      <c r="Z56">
        <v>5.6000000000000001E-2</v>
      </c>
      <c r="AA56">
        <f t="shared" si="6"/>
        <v>1.8899999999999997</v>
      </c>
      <c r="AB56">
        <v>6.0000000000000001E-3</v>
      </c>
      <c r="AC56">
        <v>7</v>
      </c>
    </row>
    <row r="57" spans="21:29" x14ac:dyDescent="0.3">
      <c r="U57">
        <v>5.98</v>
      </c>
      <c r="V57">
        <v>-6</v>
      </c>
      <c r="W57">
        <v>58</v>
      </c>
      <c r="X57">
        <v>5.8000000000000003E-2</v>
      </c>
      <c r="Y57">
        <v>2.76</v>
      </c>
      <c r="Z57">
        <v>5.7000000000000002E-2</v>
      </c>
      <c r="AA57">
        <f t="shared" si="6"/>
        <v>1.8899999999999997</v>
      </c>
      <c r="AB57">
        <v>6.0000000000000001E-3</v>
      </c>
      <c r="AC57">
        <v>7</v>
      </c>
    </row>
    <row r="58" spans="21:29" x14ac:dyDescent="0.3">
      <c r="U58">
        <v>5.98</v>
      </c>
      <c r="V58">
        <v>-6</v>
      </c>
      <c r="W58">
        <v>59</v>
      </c>
      <c r="X58">
        <v>5.8999999999999997E-2</v>
      </c>
      <c r="Y58">
        <v>2.76</v>
      </c>
      <c r="Z58">
        <v>5.8000000000000003E-2</v>
      </c>
      <c r="AA58">
        <f t="shared" si="6"/>
        <v>1.8899999999999997</v>
      </c>
      <c r="AC58">
        <v>7</v>
      </c>
    </row>
    <row r="59" spans="21:29" x14ac:dyDescent="0.3">
      <c r="U59">
        <v>5.98</v>
      </c>
      <c r="V59">
        <v>-6</v>
      </c>
      <c r="W59">
        <v>60</v>
      </c>
      <c r="X59">
        <v>0.06</v>
      </c>
      <c r="Y59">
        <v>2.76</v>
      </c>
      <c r="Z59">
        <v>5.8999999999999997E-2</v>
      </c>
      <c r="AA59">
        <f t="shared" si="6"/>
        <v>1.8899999999999997</v>
      </c>
      <c r="AC59">
        <v>7</v>
      </c>
    </row>
    <row r="60" spans="21:29" x14ac:dyDescent="0.3">
      <c r="U60">
        <v>5.98</v>
      </c>
      <c r="V60">
        <v>-6</v>
      </c>
      <c r="W60">
        <v>61</v>
      </c>
      <c r="X60">
        <v>6.0999999999999999E-2</v>
      </c>
      <c r="Y60">
        <v>2.76</v>
      </c>
      <c r="Z60">
        <v>0.06</v>
      </c>
      <c r="AA60">
        <f t="shared" si="6"/>
        <v>1.8899999999999997</v>
      </c>
      <c r="AC60">
        <v>7</v>
      </c>
    </row>
    <row r="61" spans="21:29" x14ac:dyDescent="0.3">
      <c r="U61">
        <v>5.98</v>
      </c>
      <c r="V61">
        <v>-6</v>
      </c>
      <c r="W61">
        <v>62</v>
      </c>
      <c r="X61">
        <v>6.2E-2</v>
      </c>
      <c r="Y61">
        <v>2.76</v>
      </c>
      <c r="Z61">
        <v>6.0999999999999999E-2</v>
      </c>
      <c r="AA61">
        <f t="shared" si="6"/>
        <v>1.8899999999999997</v>
      </c>
      <c r="AC61">
        <v>7</v>
      </c>
    </row>
    <row r="62" spans="21:29" x14ac:dyDescent="0.3">
      <c r="U62">
        <v>5.98</v>
      </c>
      <c r="V62">
        <v>-6</v>
      </c>
      <c r="W62">
        <v>63</v>
      </c>
      <c r="X62">
        <v>6.3E-2</v>
      </c>
      <c r="Y62">
        <v>2.76</v>
      </c>
      <c r="Z62">
        <v>6.2E-2</v>
      </c>
      <c r="AA62">
        <f t="shared" si="6"/>
        <v>1.8899999999999997</v>
      </c>
      <c r="AC62">
        <v>7</v>
      </c>
    </row>
    <row r="63" spans="21:29" x14ac:dyDescent="0.3">
      <c r="U63">
        <v>5.98</v>
      </c>
      <c r="V63">
        <v>-6</v>
      </c>
      <c r="W63">
        <v>64</v>
      </c>
      <c r="X63">
        <v>6.4000000000000001E-2</v>
      </c>
      <c r="Y63">
        <v>2.76</v>
      </c>
      <c r="Z63">
        <v>6.3E-2</v>
      </c>
      <c r="AA63">
        <f t="shared" si="6"/>
        <v>1.8899999999999997</v>
      </c>
      <c r="AC63">
        <v>7</v>
      </c>
    </row>
    <row r="64" spans="21:29" x14ac:dyDescent="0.3">
      <c r="U64">
        <v>5.98</v>
      </c>
      <c r="V64">
        <v>-6</v>
      </c>
      <c r="W64">
        <v>65</v>
      </c>
      <c r="X64">
        <v>6.5000000000000002E-2</v>
      </c>
      <c r="Y64">
        <v>2.76</v>
      </c>
      <c r="Z64">
        <v>6.4000000000000001E-2</v>
      </c>
      <c r="AA64">
        <f t="shared" si="6"/>
        <v>1.8899999999999997</v>
      </c>
      <c r="AC64">
        <v>7</v>
      </c>
    </row>
    <row r="65" spans="21:29" x14ac:dyDescent="0.3">
      <c r="U65">
        <v>5.98</v>
      </c>
      <c r="V65">
        <v>-6</v>
      </c>
      <c r="W65">
        <v>66</v>
      </c>
      <c r="X65">
        <v>6.6000000000000003E-2</v>
      </c>
      <c r="Y65">
        <v>2.76</v>
      </c>
      <c r="Z65">
        <v>6.5000000000000002E-2</v>
      </c>
      <c r="AA65">
        <f t="shared" si="6"/>
        <v>1.8899999999999997</v>
      </c>
      <c r="AC6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Lab_4_Data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2018-09-29T21:25:21Z</dcterms:created>
  <dcterms:modified xsi:type="dcterms:W3CDTF">2018-09-30T20:12:22Z</dcterms:modified>
</cp:coreProperties>
</file>